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ec25e558c5374bc4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" sheetId="1" r:id="R9a5a293688774c7f"/>
    <x:sheet xmlns:r="http://schemas.openxmlformats.org/officeDocument/2006/relationships" name="01_Teams" sheetId="2" r:id="Rff8a099762ec4312"/>
    <x:sheet xmlns:r="http://schemas.openxmlformats.org/officeDocument/2006/relationships" name="02_Actions" sheetId="3" r:id="R1efa93d9cb2c4ac0"/>
    <x:sheet xmlns:r="http://schemas.openxmlformats.org/officeDocument/2006/relationships" name="03_Evidence" sheetId="4" r:id="R2052593344244f3d"/>
    <x:sheet xmlns:r="http://schemas.openxmlformats.org/officeDocument/2006/relationships" name="04_Gates" sheetId="5" r:id="R25e7a59b240b48de"/>
    <x:sheet xmlns:r="http://schemas.openxmlformats.org/officeDocument/2006/relationships" name="05_Metrics" sheetId="6" r:id="Rbc45ceceb3464f73"/>
    <x:sheet xmlns:r="http://schemas.openxmlformats.org/officeDocument/2006/relationships" name="06_Rubric" sheetId="7" r:id="Rf27395696d914371"/>
    <x:sheet xmlns:r="http://schemas.openxmlformats.org/officeDocument/2006/relationships" name="07_Sources" sheetId="8" r:id="Re355f384ba5048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%;[Red](0.0%)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55E7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3C55"/>
      </x:patternFill>
    </x:fill>
    <x:fill>
      <x:patternFill patternType="solid">
        <x:fgColor rgb="FFE8F2F5"/>
      </x:patternFill>
    </x:fill>
    <x:fill>
      <x:patternFill patternType="solid">
        <x:fgColor rgb="FF247A87"/>
      </x:patternFill>
    </x:fill>
    <x:fill>
      <x:patternFill patternType="solid">
        <x:fgColor rgb="FFF1F6F9"/>
      </x:patternFill>
    </x:fill>
    <x:fill>
      <x:patternFill patternType="solid">
        <x:fgColor rgb="FFE4EEF3"/>
      </x:patternFill>
    </x:fill>
    <x:fill>
      <x:patternFill patternType="solid">
        <x:fgColor rgb="FFE7F2F3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201" fontId="0" fillId="5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5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5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1" fontId="0" fillId="6" borderId="0" xfId="0" applyNumberFormat="1" applyFont="1" applyFill="1" applyBorder="1" applyAlignment="1">
      <x:alignment vertical="top" wrapText="1"/>
    </x:xf>
    <x:xf numFmtId="202" fontId="0" fillId="6" borderId="0" xfId="0" applyNumberFormat="1" applyFont="1" applyFill="1" applyBorder="1" applyAlignment="1">
      <x:alignment vertical="top" wrapText="1"/>
    </x:xf>
    <x:xf numFmtId="201" fontId="0" fillId="6" borderId="1" xfId="0" applyNumberFormat="1" applyFont="1" applyFill="1" applyBorder="1" applyAlignment="1">
      <x:alignment vertical="top" wrapText="1"/>
    </x:xf>
    <x:xf numFmtId="202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9C3E1C"/>
      </x:font>
      <x:fill>
        <x:patternFill patternType="solid">
          <x:bgColor rgb="FFFBE5D6"/>
        </x:patternFill>
      </x:fill>
    </x:dxf>
    <x:dxf>
      <x:fill>
        <x:patternFill patternType="solid">
          <x:bgColor rgb="FFFBE5D6"/>
        </x:patternFill>
      </x:fill>
    </x:dxf>
  </x:dxfs>
</x:styleSheet>
</file>

<file path=xl/_rels/workbook.xml.rels><?xml version="1.0" encoding="UTF-8" standalone="yes"?>
<Relationships xmlns="http://schemas.openxmlformats.org/package/2006/relationships"><Relationship Id="Rf36eb6b967c44050" Type="http://schemas.openxmlformats.org/officeDocument/2006/relationships/styles" Target="/xl/styles.xml"/><Relationship Id="R3916c04984484368" Type="http://schemas.openxmlformats.org/officeDocument/2006/relationships/theme" Target="/xl/theme/theme1.xml"/><Relationship Id="R9a5a293688774c7f" Type="http://schemas.openxmlformats.org/officeDocument/2006/relationships/worksheet" Target="/xl/worksheets/sheet1.xml"/><Relationship Id="R89766e9225a24354" Type="http://schemas.openxmlformats.org/officeDocument/2006/relationships/sharedStrings" Target="/xl/sharedStrings.xml"/><Relationship Id="R1efa93d9cb2c4ac0" Type="http://schemas.openxmlformats.org/officeDocument/2006/relationships/worksheet" Target="/xl/worksheets/sheet3.xml"/><Relationship Id="Re355f384ba5048b4" Type="http://schemas.openxmlformats.org/officeDocument/2006/relationships/worksheet" Target="/xl/worksheets/sheet8.xml"/><Relationship Id="rId3" Type="http://schemas.openxmlformats.org/officeDocument/2006/relationships/customXml" Target="../customXml/item3.xml"/><Relationship Id="R2052593344244f3d" Type="http://schemas.openxmlformats.org/officeDocument/2006/relationships/worksheet" Target="/xl/worksheets/sheet4.xml"/><Relationship Id="Rbc45ceceb3464f73" Type="http://schemas.openxmlformats.org/officeDocument/2006/relationships/worksheet" Target="/xl/worksheets/sheet6.xml"/><Relationship Id="R25e7a59b240b48de" Type="http://schemas.openxmlformats.org/officeDocument/2006/relationships/worksheet" Target="/xl/worksheets/sheet5.xml"/><Relationship Id="rId2" Type="http://schemas.openxmlformats.org/officeDocument/2006/relationships/customXml" Target="../customXml/item2.xml"/><Relationship Id="Rff8a099762ec4312" Type="http://schemas.openxmlformats.org/officeDocument/2006/relationships/worksheet" Target="/xl/worksheets/sheet2.xml"/><Relationship Id="rId1" Type="http://schemas.openxmlformats.org/officeDocument/2006/relationships/customXml" Target="../customXml/item1.xml"/><Relationship Id="Rf27395696d914371" Type="http://schemas.openxmlformats.org/officeDocument/2006/relationships/worksheet" Target="/xl/worksheets/sheet7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68" hidden="0" customWidth="1"/>
    <x:col min="3" max="3" width="40" hidden="0" customWidth="1"/>
  </x:cols>
  <x:sheetData>
    <x:row r="1" ht="32" customHeight="1">
      <x:c r="A1" s="3" t="str">
        <x:v>PCC | EARTH PROGRAM WORKBOOK</x:v>
      </x:c>
      <x:c r="B1" s="3"/>
      <x:c r="C1" s="3"/>
    </x:row>
    <x:row r="2" ht="24" customHeight="1">
      <x:c r="A2" s="8" t="str">
        <x:v>แบบทำงานเสนอสำหรับ Earth / Mentor • ข้อมูลรายทีมยังไม่ถูกกรอก • 17+7 เป็นจำนวนที่ผู้ใช้แจ้ง ไม่ใช่รายชื่อที่ตรวจแล้ว</x:v>
      </x:c>
      <x:c r="B2" s="8"/>
      <x:c r="C2" s="8"/>
    </x:row>
    <x:row r="3" ht="24" customHeight="1">
      <x:c r="A3" s="8"/>
      <x:c r="B3" s="8"/>
      <x:c r="C3" s="8"/>
    </x:row>
    <x:row r="5" ht="32" customHeight="1">
      <x:c r="A5" s="14" t="str">
        <x:v>รายการ</x:v>
      </x:c>
      <x:c r="B5" s="14" t="str">
        <x:v>ค่า / วิธีใช้</x:v>
      </x:c>
      <x:c r="C5" s="14" t="str">
        <x:v>ผู้รับผิดชอบ</x:v>
      </x:c>
    </x:row>
    <x:row r="6" ht="44" customHeight="1">
      <x:c r="A6" s="22" t="str">
        <x:v>วันที่อ้างอิงสำหรับเตือนงาน</x:v>
      </x:c>
      <x:c r="B6" s="24" t="n">
        <x:v>46293</x:v>
      </x:c>
      <x:c r="C6" s="22" t="str">
        <x:v>Earth ปรับวันที่นี้ก่อนใช้</x:v>
      </x:c>
    </x:row>
    <x:row r="7" ht="30" customHeight="1">
      <x:c r="A7" s="19" t="str">
        <x:v>จำนวนแถวทีมพัฒนาในแม่แบบ</x:v>
      </x:c>
      <x:c r="B7" s="43" t="n">
        <x:f>COUNTIF('01_Teams'!B6:B29,"พัฒนา 17 ทีม")</x:f>
        <x:v>17</x:v>
      </x:c>
      <x:c r="C7" s="19" t="str">
        <x:v>รหัส D01–D17 เป็นรหัสชั่วคราว</x:v>
      </x:c>
    </x:row>
    <x:row r="8" ht="30" customHeight="1">
      <x:c r="A8" s="22" t="str">
        <x:v>จำนวนแถวทีมที่ผ่านในแม่แบบ</x:v>
      </x:c>
      <x:c r="B8" s="43" t="n">
        <x:f>COUNTIF('01_Teams'!B6:B29,"ผ่านเดิม 7 ทีม")</x:f>
        <x:v>7</x:v>
      </x:c>
      <x:c r="C8" s="22" t="str">
        <x:v>รหัส Q01–Q07 เป็นรหัสชั่วคราว</x:v>
      </x:c>
    </x:row>
    <x:row r="9" ht="30" customHeight="1">
      <x:c r="A9" s="19" t="str">
        <x:v>จำนวนแถวที่กรอกชื่อทีมแล้ว</x:v>
      </x:c>
      <x:c r="B9" s="43" t="n">
        <x:f>COUNTA('01_Teams'!C6:C29)</x:f>
        <x:v>0</x:v>
      </x:c>
      <x:c r="C9" s="19" t="str">
        <x:v>ตรวจเทียบทะเบียนจริงก่อนใช้</x:v>
      </x:c>
    </x:row>
    <x:row r="10" ht="30" customHeight="1">
      <x:c r="A10" s="22" t="str">
        <x:v>จำนวนงานที่บันทึกว่าเสร็จ</x:v>
      </x:c>
      <x:c r="B10" s="43" t="n">
        <x:f>COUNTIF('02_Actions'!F6:F35,"เสร็จ")</x:f>
        <x:v>0</x:v>
      </x:c>
      <x:c r="C10" s="22" t="str">
        <x:v>นับสถานะในไฟล์ ไม่ใช่ผลตรวจโครงการ</x:v>
      </x:c>
    </x:row>
    <x:row r="11" ht="30" customHeight="1">
      <x:c r="A11" s="19" t="str">
        <x:v>จำนวนหลักฐานที่ใส่รหัสแล้ว</x:v>
      </x:c>
      <x:c r="B11" s="43" t="n">
        <x:f>COUNTA('03_Evidence'!A6:A35)</x:f>
        <x:v>0</x:v>
      </x:c>
      <x:c r="C11" s="19" t="str">
        <x:v>ไม่เท่ากับหลักฐานผ่านการตรวจ</x:v>
      </x:c>
    </x:row>
    <x:row r="12" ht="44" customHeight="1">
      <x:c r="A12" s="22" t="str">
        <x:v>ลำดับใช้งาน</x:v>
      </x:c>
      <x:c r="B12" s="22" t="str">
        <x:v>01_Teams → 02_Actions → 03_Evidence → 04_Gates</x:v>
      </x:c>
      <x:c r="C12" s="22" t="str">
        <x:v>Earth / ทีม / Mentor</x:v>
      </x:c>
    </x:row>
    <x:row r="13" ht="44" customHeight="1">
      <x:c r="A13" s="19" t="str">
        <x:v>ผลการทดลอง</x:v>
      </x:c>
      <x:c r="B13" s="19" t="str">
        <x:v>05_Metrics: กรอกนิยาม ค่าฐาน ผล และแหล่ง; ช่องคำนวณว่างจนมีข้อมูล</x:v>
      </x:c>
      <x:c r="C13" s="19" t="str">
        <x:v>ทีม + Business Owner/Finance</x:v>
      </x:c>
    </x:row>
    <x:row r="14" ht="44" customHeight="1">
      <x:c r="A14" s="22" t="str">
        <x:v>เกณฑ์ประเมิน</x:v>
      </x:c>
      <x:c r="B14" s="22" t="str">
        <x:v>06_Rubric: นำเกณฑ์เดิมมาเทียบก่อน; น้ำหนักยังเว้นว่าง</x:v>
      </x:c>
      <x:c r="C14" s="22" t="str">
        <x:v>Earth เตรียม; คณะอนุมัติ</x:v>
      </x:c>
    </x:row>
    <x:row r="15" ht="44" customHeight="1">
      <x:c r="A15" s="19" t="str">
        <x:v>ข้อมูลลูกค้าและรหัสลับ</x:v>
      </x:c>
      <x:c r="B15" s="19" t="str">
        <x:v>ไม่ใส่ข้อมูลอ่อนไหวหรือรหัสลับในแฟ้มกลาง; เก็บเฉพาะลิงก์ที่จำกัดสิทธิ์</x:v>
      </x:c>
      <x:c r="C15" s="19" t="str">
        <x:v>เจ้าของข้อมูล / IT</x:v>
      </x:c>
    </x:row>
    <x:row r="16" ht="44" customHeight="1">
      <x:c r="A16" s="22" t="str">
        <x:v>คู่มือประกอบ</x:v>
      </x:c>
      <x:c r="B16" s="22" t="str">
        <x:v>PCC_COO_Guide_and_Accelerator_Playbook.pdf</x:v>
      </x:c>
      <x:c r="C16" s="22" t="str">
        <x:v>อ่านหน้า 19–23 สำหรับจังหวะงาน</x:v>
      </x:c>
    </x:row>
    <x:row r="17" ht="44" customHeight="1">
      <x:c r="A17" s="19" t="str">
        <x:v>แบบกรอกต่อทีม</x:v>
      </x:c>
      <x:c r="B17" s="19" t="str">
        <x:v>PCC_Team_Evidence_Templates.docx</x:v>
      </x:c>
      <x:c r="C17" s="19" t="str">
        <x:v>T1–T8 ใช้เท่าที่เกี่ยวกับด่าน</x:v>
      </x:c>
    </x:row>
    <x:row r="18" ht="44" customHeight="1">
      <x:c r="A18" s="22" t="str">
        <x:v>ความหมายของตัวเลขศูนย์</x:v>
      </x:c>
      <x:c r="B18" s="22" t="str">
        <x:v>ศูนย์ในภาพรวมหมายถึงยังไม่มีรายการกรอก/ตรงเงื่อนไขในแม่แบบ ไม่ใช่ยืนยันว่าโครงการไม่มีผลงาน</x:v>
      </x:c>
      <x:c r="C18" s="22" t="str">
        <x:v>ข้อจำกัด</x:v>
      </x:c>
    </x:row>
  </x:sheetData>
  <x:mergeCells>
    <x:mergeCell ref="A1:C1"/>
    <x:mergeCell ref="A2:C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3" hidden="0" customWidth="1"/>
    <x:col min="3" max="3" width="25" hidden="0" customWidth="1"/>
    <x:col min="4" max="4" width="23" hidden="0" customWidth="1"/>
    <x:col min="5" max="5" width="24" hidden="0" customWidth="1"/>
    <x:col min="6" max="6" width="23" hidden="0" customWidth="1"/>
    <x:col min="7" max="7" width="23" hidden="0" customWidth="1"/>
    <x:col min="8" max="8" width="24" hidden="0" customWidth="1"/>
    <x:col min="9" max="9" width="18" hidden="0" customWidth="1"/>
    <x:col min="10" max="10" width="38" hidden="0" customWidth="1"/>
    <x:col min="11" max="11" width="38" hidden="0" customWidth="1"/>
    <x:col min="12" max="12" width="18" hidden="0" customWidth="1"/>
    <x:col min="13" max="13" width="38" hidden="0" customWidth="1"/>
    <x:col min="14" max="14" width="36" hidden="0" customWidth="1"/>
    <x:col min="15" max="15" width="30" hidden="0" customWidth="1"/>
  </x:cols>
  <x:sheetData>
    <x:row r="1" ht="32" customHeight="1">
      <x:c r="A1" s="3" t="str">
        <x:v>ทะเบียนทีมและทางไปต่อ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4" customHeight="1">
      <x:c r="A2" s="8" t="str">
        <x:v>แถว D/Q เป็นช่องเตรียมกรอก ไม่ใช่ชื่อจริง • หลัง Final Challenge ให้เลือกเส้นทางตามความพร้อม และไม่ใช้แทนที่ 7 ทีมเดิม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5" ht="32" customHeight="1">
      <x:c r="A5" s="14" t="str">
        <x:v>รหัสชั่วคราว</x:v>
      </x:c>
      <x:c r="B5" s="14" t="str">
        <x:v>เส้นทาง</x:v>
      </x:c>
      <x:c r="C5" s="14" t="str">
        <x:v>ชื่อทีม</x:v>
      </x:c>
      <x:c r="D5" s="14" t="str">
        <x:v>หน่วยงาน</x:v>
      </x:c>
      <x:c r="E5" s="14" t="str">
        <x:v>Business Owner</x:v>
      </x:c>
      <x:c r="F5" s="14" t="str">
        <x:v>Team Lead</x:v>
      </x:c>
      <x:c r="G5" s="14" t="str">
        <x:v>Mentor หลัก</x:v>
      </x:c>
      <x:c r="H5" s="14" t="str">
        <x:v>ความพร้อม</x:v>
      </x:c>
      <x:c r="I5" s="14" t="str">
        <x:v>ด่านถัดไป</x:v>
      </x:c>
      <x:c r="J5" s="14" t="str">
        <x:v>ช่องว่างสำคัญ</x:v>
      </x:c>
      <x:c r="K5" s="14" t="str">
        <x:v>งานถัดไป</x:v>
      </x:c>
      <x:c r="L5" s="14" t="str">
        <x:v>วันที่ทบทวน</x:v>
      </x:c>
      <x:c r="M5" s="14" t="str">
        <x:v>Risk/Blocker</x:v>
      </x:c>
      <x:c r="N5" s="14" t="str">
        <x:v>ลิงก์ชุดหลักฐาน</x:v>
      </x:c>
      <x:c r="O5" s="14" t="str">
        <x:v>ตรวจความครบ</x:v>
      </x:c>
    </x:row>
    <x:row r="6" ht="44" customHeight="1">
      <x:c r="A6" s="22" t="str">
        <x:v>D01</x:v>
      </x:c>
      <x:c r="B6" s="22" t="str">
        <x:v>พัฒนา 17 ทีม</x:v>
      </x:c>
      <x:c r="C6" s="22"/>
      <x:c r="D6" s="22"/>
      <x:c r="E6" s="22"/>
      <x:c r="F6" s="22"/>
      <x:c r="G6" s="22"/>
      <x:c r="H6" s="22" t="str">
        <x:v>ยังไม่ประเมิน</x:v>
      </x:c>
      <x:c r="I6" s="22"/>
      <x:c r="J6" s="22"/>
      <x:c r="K6" s="22"/>
      <x:c r="L6" s="24"/>
      <x:c r="M6" s="22"/>
      <x:c r="N6" s="22"/>
      <x:c r="O6" s="28" t="str">
        <x:f>IF(C6="","รอกรอกชื่อทีม",IF(N6="","รอลิงก์หลักฐาน","มีลิงก์ - ต้องตรวจ"))</x:f>
        <x:v>รอกรอกชื่อทีม</x:v>
      </x:c>
    </x:row>
    <x:row r="7" ht="44" customHeight="1">
      <x:c r="A7" s="19" t="str">
        <x:v>D02</x:v>
      </x:c>
      <x:c r="B7" s="19" t="str">
        <x:v>พัฒนา 17 ทีม</x:v>
      </x:c>
      <x:c r="C7" s="19"/>
      <x:c r="D7" s="19"/>
      <x:c r="E7" s="19"/>
      <x:c r="F7" s="19"/>
      <x:c r="G7" s="19"/>
      <x:c r="H7" s="19" t="str">
        <x:v>ยังไม่ประเมิน</x:v>
      </x:c>
      <x:c r="I7" s="19"/>
      <x:c r="J7" s="19"/>
      <x:c r="K7" s="19"/>
      <x:c r="L7" s="26"/>
      <x:c r="M7" s="19"/>
      <x:c r="N7" s="19"/>
      <x:c r="O7" s="28" t="str">
        <x:f>IF(C7="","รอกรอกชื่อทีม",IF(N7="","รอลิงก์หลักฐาน","มีลิงก์ - ต้องตรวจ"))</x:f>
        <x:v>รอกรอกชื่อทีม</x:v>
      </x:c>
    </x:row>
    <x:row r="8" ht="44" customHeight="1">
      <x:c r="A8" s="22" t="str">
        <x:v>D03</x:v>
      </x:c>
      <x:c r="B8" s="22" t="str">
        <x:v>พัฒนา 17 ทีม</x:v>
      </x:c>
      <x:c r="C8" s="22"/>
      <x:c r="D8" s="22"/>
      <x:c r="E8" s="22"/>
      <x:c r="F8" s="22"/>
      <x:c r="G8" s="22"/>
      <x:c r="H8" s="22" t="str">
        <x:v>ยังไม่ประเมิน</x:v>
      </x:c>
      <x:c r="I8" s="22"/>
      <x:c r="J8" s="22"/>
      <x:c r="K8" s="22"/>
      <x:c r="L8" s="24"/>
      <x:c r="M8" s="22"/>
      <x:c r="N8" s="22"/>
      <x:c r="O8" s="28" t="str">
        <x:f>IF(C8="","รอกรอกชื่อทีม",IF(N8="","รอลิงก์หลักฐาน","มีลิงก์ - ต้องตรวจ"))</x:f>
        <x:v>รอกรอกชื่อทีม</x:v>
      </x:c>
    </x:row>
    <x:row r="9" ht="44" customHeight="1">
      <x:c r="A9" s="19" t="str">
        <x:v>D04</x:v>
      </x:c>
      <x:c r="B9" s="19" t="str">
        <x:v>พัฒนา 17 ทีม</x:v>
      </x:c>
      <x:c r="C9" s="19"/>
      <x:c r="D9" s="19"/>
      <x:c r="E9" s="19"/>
      <x:c r="F9" s="19"/>
      <x:c r="G9" s="19"/>
      <x:c r="H9" s="19" t="str">
        <x:v>ยังไม่ประเมิน</x:v>
      </x:c>
      <x:c r="I9" s="19"/>
      <x:c r="J9" s="19"/>
      <x:c r="K9" s="19"/>
      <x:c r="L9" s="26"/>
      <x:c r="M9" s="19"/>
      <x:c r="N9" s="19"/>
      <x:c r="O9" s="28" t="str">
        <x:f>IF(C9="","รอกรอกชื่อทีม",IF(N9="","รอลิงก์หลักฐาน","มีลิงก์ - ต้องตรวจ"))</x:f>
        <x:v>รอกรอกชื่อทีม</x:v>
      </x:c>
    </x:row>
    <x:row r="10" ht="44" customHeight="1">
      <x:c r="A10" s="22" t="str">
        <x:v>D05</x:v>
      </x:c>
      <x:c r="B10" s="22" t="str">
        <x:v>พัฒนา 17 ทีม</x:v>
      </x:c>
      <x:c r="C10" s="22"/>
      <x:c r="D10" s="22"/>
      <x:c r="E10" s="22"/>
      <x:c r="F10" s="22"/>
      <x:c r="G10" s="22"/>
      <x:c r="H10" s="22" t="str">
        <x:v>ยังไม่ประเมิน</x:v>
      </x:c>
      <x:c r="I10" s="22"/>
      <x:c r="J10" s="22"/>
      <x:c r="K10" s="22"/>
      <x:c r="L10" s="24"/>
      <x:c r="M10" s="22"/>
      <x:c r="N10" s="22"/>
      <x:c r="O10" s="28" t="str">
        <x:f>IF(C10="","รอกรอกชื่อทีม",IF(N10="","รอลิงก์หลักฐาน","มีลิงก์ - ต้องตรวจ"))</x:f>
        <x:v>รอกรอกชื่อทีม</x:v>
      </x:c>
    </x:row>
    <x:row r="11" ht="44" customHeight="1">
      <x:c r="A11" s="19" t="str">
        <x:v>D06</x:v>
      </x:c>
      <x:c r="B11" s="19" t="str">
        <x:v>พัฒนา 17 ทีม</x:v>
      </x:c>
      <x:c r="C11" s="19"/>
      <x:c r="D11" s="19"/>
      <x:c r="E11" s="19"/>
      <x:c r="F11" s="19"/>
      <x:c r="G11" s="19"/>
      <x:c r="H11" s="19" t="str">
        <x:v>ยังไม่ประเมิน</x:v>
      </x:c>
      <x:c r="I11" s="19"/>
      <x:c r="J11" s="19"/>
      <x:c r="K11" s="19"/>
      <x:c r="L11" s="26"/>
      <x:c r="M11" s="19"/>
      <x:c r="N11" s="19"/>
      <x:c r="O11" s="28" t="str">
        <x:f>IF(C11="","รอกรอกชื่อทีม",IF(N11="","รอลิงก์หลักฐาน","มีลิงก์ - ต้องตรวจ"))</x:f>
        <x:v>รอกรอกชื่อทีม</x:v>
      </x:c>
    </x:row>
    <x:row r="12" ht="44" customHeight="1">
      <x:c r="A12" s="22" t="str">
        <x:v>D07</x:v>
      </x:c>
      <x:c r="B12" s="22" t="str">
        <x:v>พัฒนา 17 ทีม</x:v>
      </x:c>
      <x:c r="C12" s="22"/>
      <x:c r="D12" s="22"/>
      <x:c r="E12" s="22"/>
      <x:c r="F12" s="22"/>
      <x:c r="G12" s="22"/>
      <x:c r="H12" s="22" t="str">
        <x:v>ยังไม่ประเมิน</x:v>
      </x:c>
      <x:c r="I12" s="22"/>
      <x:c r="J12" s="22"/>
      <x:c r="K12" s="22"/>
      <x:c r="L12" s="24"/>
      <x:c r="M12" s="22"/>
      <x:c r="N12" s="22"/>
      <x:c r="O12" s="28" t="str">
        <x:f>IF(C12="","รอกรอกชื่อทีม",IF(N12="","รอลิงก์หลักฐาน","มีลิงก์ - ต้องตรวจ"))</x:f>
        <x:v>รอกรอกชื่อทีม</x:v>
      </x:c>
    </x:row>
    <x:row r="13" ht="44" customHeight="1">
      <x:c r="A13" s="19" t="str">
        <x:v>D08</x:v>
      </x:c>
      <x:c r="B13" s="19" t="str">
        <x:v>พัฒนา 17 ทีม</x:v>
      </x:c>
      <x:c r="C13" s="19"/>
      <x:c r="D13" s="19"/>
      <x:c r="E13" s="19"/>
      <x:c r="F13" s="19"/>
      <x:c r="G13" s="19"/>
      <x:c r="H13" s="19" t="str">
        <x:v>ยังไม่ประเมิน</x:v>
      </x:c>
      <x:c r="I13" s="19"/>
      <x:c r="J13" s="19"/>
      <x:c r="K13" s="19"/>
      <x:c r="L13" s="26"/>
      <x:c r="M13" s="19"/>
      <x:c r="N13" s="19"/>
      <x:c r="O13" s="28" t="str">
        <x:f>IF(C13="","รอกรอกชื่อทีม",IF(N13="","รอลิงก์หลักฐาน","มีลิงก์ - ต้องตรวจ"))</x:f>
        <x:v>รอกรอกชื่อทีม</x:v>
      </x:c>
    </x:row>
    <x:row r="14" ht="44" customHeight="1">
      <x:c r="A14" s="22" t="str">
        <x:v>D09</x:v>
      </x:c>
      <x:c r="B14" s="22" t="str">
        <x:v>พัฒนา 17 ทีม</x:v>
      </x:c>
      <x:c r="C14" s="22"/>
      <x:c r="D14" s="22"/>
      <x:c r="E14" s="22"/>
      <x:c r="F14" s="22"/>
      <x:c r="G14" s="22"/>
      <x:c r="H14" s="22" t="str">
        <x:v>ยังไม่ประเมิน</x:v>
      </x:c>
      <x:c r="I14" s="22"/>
      <x:c r="J14" s="22"/>
      <x:c r="K14" s="22"/>
      <x:c r="L14" s="24"/>
      <x:c r="M14" s="22"/>
      <x:c r="N14" s="22"/>
      <x:c r="O14" s="28" t="str">
        <x:f>IF(C14="","รอกรอกชื่อทีม",IF(N14="","รอลิงก์หลักฐาน","มีลิงก์ - ต้องตรวจ"))</x:f>
        <x:v>รอกรอกชื่อทีม</x:v>
      </x:c>
    </x:row>
    <x:row r="15" ht="44" customHeight="1">
      <x:c r="A15" s="19" t="str">
        <x:v>D10</x:v>
      </x:c>
      <x:c r="B15" s="19" t="str">
        <x:v>พัฒนา 17 ทีม</x:v>
      </x:c>
      <x:c r="C15" s="19"/>
      <x:c r="D15" s="19"/>
      <x:c r="E15" s="19"/>
      <x:c r="F15" s="19"/>
      <x:c r="G15" s="19"/>
      <x:c r="H15" s="19" t="str">
        <x:v>ยังไม่ประเมิน</x:v>
      </x:c>
      <x:c r="I15" s="19"/>
      <x:c r="J15" s="19"/>
      <x:c r="K15" s="19"/>
      <x:c r="L15" s="26"/>
      <x:c r="M15" s="19"/>
      <x:c r="N15" s="19"/>
      <x:c r="O15" s="28" t="str">
        <x:f>IF(C15="","รอกรอกชื่อทีม",IF(N15="","รอลิงก์หลักฐาน","มีลิงก์ - ต้องตรวจ"))</x:f>
        <x:v>รอกรอกชื่อทีม</x:v>
      </x:c>
    </x:row>
    <x:row r="16" ht="44" customHeight="1">
      <x:c r="A16" s="22" t="str">
        <x:v>D11</x:v>
      </x:c>
      <x:c r="B16" s="22" t="str">
        <x:v>พัฒนา 17 ทีม</x:v>
      </x:c>
      <x:c r="C16" s="22"/>
      <x:c r="D16" s="22"/>
      <x:c r="E16" s="22"/>
      <x:c r="F16" s="22"/>
      <x:c r="G16" s="22"/>
      <x:c r="H16" s="22" t="str">
        <x:v>ยังไม่ประเมิน</x:v>
      </x:c>
      <x:c r="I16" s="22"/>
      <x:c r="J16" s="22"/>
      <x:c r="K16" s="22"/>
      <x:c r="L16" s="24"/>
      <x:c r="M16" s="22"/>
      <x:c r="N16" s="22"/>
      <x:c r="O16" s="28" t="str">
        <x:f>IF(C16="","รอกรอกชื่อทีม",IF(N16="","รอลิงก์หลักฐาน","มีลิงก์ - ต้องตรวจ"))</x:f>
        <x:v>รอกรอกชื่อทีม</x:v>
      </x:c>
    </x:row>
    <x:row r="17" ht="44" customHeight="1">
      <x:c r="A17" s="19" t="str">
        <x:v>D12</x:v>
      </x:c>
      <x:c r="B17" s="19" t="str">
        <x:v>พัฒนา 17 ทีม</x:v>
      </x:c>
      <x:c r="C17" s="19"/>
      <x:c r="D17" s="19"/>
      <x:c r="E17" s="19"/>
      <x:c r="F17" s="19"/>
      <x:c r="G17" s="19"/>
      <x:c r="H17" s="19" t="str">
        <x:v>ยังไม่ประเมิน</x:v>
      </x:c>
      <x:c r="I17" s="19"/>
      <x:c r="J17" s="19"/>
      <x:c r="K17" s="19"/>
      <x:c r="L17" s="26"/>
      <x:c r="M17" s="19"/>
      <x:c r="N17" s="19"/>
      <x:c r="O17" s="28" t="str">
        <x:f>IF(C17="","รอกรอกชื่อทีม",IF(N17="","รอลิงก์หลักฐาน","มีลิงก์ - ต้องตรวจ"))</x:f>
        <x:v>รอกรอกชื่อทีม</x:v>
      </x:c>
    </x:row>
    <x:row r="18" ht="44" customHeight="1">
      <x:c r="A18" s="22" t="str">
        <x:v>D13</x:v>
      </x:c>
      <x:c r="B18" s="22" t="str">
        <x:v>พัฒนา 17 ทีม</x:v>
      </x:c>
      <x:c r="C18" s="22"/>
      <x:c r="D18" s="22"/>
      <x:c r="E18" s="22"/>
      <x:c r="F18" s="22"/>
      <x:c r="G18" s="22"/>
      <x:c r="H18" s="22" t="str">
        <x:v>ยังไม่ประเมิน</x:v>
      </x:c>
      <x:c r="I18" s="22"/>
      <x:c r="J18" s="22"/>
      <x:c r="K18" s="22"/>
      <x:c r="L18" s="24"/>
      <x:c r="M18" s="22"/>
      <x:c r="N18" s="22"/>
      <x:c r="O18" s="28" t="str">
        <x:f>IF(C18="","รอกรอกชื่อทีม",IF(N18="","รอลิงก์หลักฐาน","มีลิงก์ - ต้องตรวจ"))</x:f>
        <x:v>รอกรอกชื่อทีม</x:v>
      </x:c>
    </x:row>
    <x:row r="19" ht="44" customHeight="1">
      <x:c r="A19" s="19" t="str">
        <x:v>D14</x:v>
      </x:c>
      <x:c r="B19" s="19" t="str">
        <x:v>พัฒนา 17 ทีม</x:v>
      </x:c>
      <x:c r="C19" s="19"/>
      <x:c r="D19" s="19"/>
      <x:c r="E19" s="19"/>
      <x:c r="F19" s="19"/>
      <x:c r="G19" s="19"/>
      <x:c r="H19" s="19" t="str">
        <x:v>ยังไม่ประเมิน</x:v>
      </x:c>
      <x:c r="I19" s="19"/>
      <x:c r="J19" s="19"/>
      <x:c r="K19" s="19"/>
      <x:c r="L19" s="26"/>
      <x:c r="M19" s="19"/>
      <x:c r="N19" s="19"/>
      <x:c r="O19" s="28" t="str">
        <x:f>IF(C19="","รอกรอกชื่อทีม",IF(N19="","รอลิงก์หลักฐาน","มีลิงก์ - ต้องตรวจ"))</x:f>
        <x:v>รอกรอกชื่อทีม</x:v>
      </x:c>
    </x:row>
    <x:row r="20" ht="44" customHeight="1">
      <x:c r="A20" s="22" t="str">
        <x:v>D15</x:v>
      </x:c>
      <x:c r="B20" s="22" t="str">
        <x:v>พัฒนา 17 ทีม</x:v>
      </x:c>
      <x:c r="C20" s="22"/>
      <x:c r="D20" s="22"/>
      <x:c r="E20" s="22"/>
      <x:c r="F20" s="22"/>
      <x:c r="G20" s="22"/>
      <x:c r="H20" s="22" t="str">
        <x:v>ยังไม่ประเมิน</x:v>
      </x:c>
      <x:c r="I20" s="22"/>
      <x:c r="J20" s="22"/>
      <x:c r="K20" s="22"/>
      <x:c r="L20" s="24"/>
      <x:c r="M20" s="22"/>
      <x:c r="N20" s="22"/>
      <x:c r="O20" s="28" t="str">
        <x:f>IF(C20="","รอกรอกชื่อทีม",IF(N20="","รอลิงก์หลักฐาน","มีลิงก์ - ต้องตรวจ"))</x:f>
        <x:v>รอกรอกชื่อทีม</x:v>
      </x:c>
    </x:row>
    <x:row r="21" ht="44" customHeight="1">
      <x:c r="A21" s="19" t="str">
        <x:v>D16</x:v>
      </x:c>
      <x:c r="B21" s="19" t="str">
        <x:v>พัฒนา 17 ทีม</x:v>
      </x:c>
      <x:c r="C21" s="19"/>
      <x:c r="D21" s="19"/>
      <x:c r="E21" s="19"/>
      <x:c r="F21" s="19"/>
      <x:c r="G21" s="19"/>
      <x:c r="H21" s="19" t="str">
        <x:v>ยังไม่ประเมิน</x:v>
      </x:c>
      <x:c r="I21" s="19"/>
      <x:c r="J21" s="19"/>
      <x:c r="K21" s="19"/>
      <x:c r="L21" s="26"/>
      <x:c r="M21" s="19"/>
      <x:c r="N21" s="19"/>
      <x:c r="O21" s="28" t="str">
        <x:f>IF(C21="","รอกรอกชื่อทีม",IF(N21="","รอลิงก์หลักฐาน","มีลิงก์ - ต้องตรวจ"))</x:f>
        <x:v>รอกรอกชื่อทีม</x:v>
      </x:c>
    </x:row>
    <x:row r="22" ht="44" customHeight="1">
      <x:c r="A22" s="22" t="str">
        <x:v>D17</x:v>
      </x:c>
      <x:c r="B22" s="22" t="str">
        <x:v>พัฒนา 17 ทีม</x:v>
      </x:c>
      <x:c r="C22" s="22"/>
      <x:c r="D22" s="22"/>
      <x:c r="E22" s="22"/>
      <x:c r="F22" s="22"/>
      <x:c r="G22" s="22"/>
      <x:c r="H22" s="22" t="str">
        <x:v>ยังไม่ประเมิน</x:v>
      </x:c>
      <x:c r="I22" s="22"/>
      <x:c r="J22" s="22"/>
      <x:c r="K22" s="22"/>
      <x:c r="L22" s="24"/>
      <x:c r="M22" s="22"/>
      <x:c r="N22" s="22"/>
      <x:c r="O22" s="28" t="str">
        <x:f>IF(C22="","รอกรอกชื่อทีม",IF(N22="","รอลิงก์หลักฐาน","มีลิงก์ - ต้องตรวจ"))</x:f>
        <x:v>รอกรอกชื่อทีม</x:v>
      </x:c>
    </x:row>
    <x:row r="23" ht="44" customHeight="1">
      <x:c r="A23" s="19" t="str">
        <x:v>Q01</x:v>
      </x:c>
      <x:c r="B23" s="19" t="str">
        <x:v>ผ่านเดิม 7 ทีม</x:v>
      </x:c>
      <x:c r="C23" s="19"/>
      <x:c r="D23" s="19"/>
      <x:c r="E23" s="19"/>
      <x:c r="F23" s="19"/>
      <x:c r="G23" s="19"/>
      <x:c r="H23" s="19" t="str">
        <x:v>ยังไม่ประเมิน</x:v>
      </x:c>
      <x:c r="I23" s="19"/>
      <x:c r="J23" s="19"/>
      <x:c r="K23" s="19"/>
      <x:c r="L23" s="26"/>
      <x:c r="M23" s="19"/>
      <x:c r="N23" s="19"/>
      <x:c r="O23" s="28" t="str">
        <x:f>IF(C23="","รอกรอกชื่อทีม",IF(N23="","รอลิงก์หลักฐาน","มีลิงก์ - ต้องตรวจ"))</x:f>
        <x:v>รอกรอกชื่อทีม</x:v>
      </x:c>
    </x:row>
    <x:row r="24" ht="44" customHeight="1">
      <x:c r="A24" s="22" t="str">
        <x:v>Q02</x:v>
      </x:c>
      <x:c r="B24" s="22" t="str">
        <x:v>ผ่านเดิม 7 ทีม</x:v>
      </x:c>
      <x:c r="C24" s="22"/>
      <x:c r="D24" s="22"/>
      <x:c r="E24" s="22"/>
      <x:c r="F24" s="22"/>
      <x:c r="G24" s="22"/>
      <x:c r="H24" s="22" t="str">
        <x:v>ยังไม่ประเมิน</x:v>
      </x:c>
      <x:c r="I24" s="22"/>
      <x:c r="J24" s="22"/>
      <x:c r="K24" s="22"/>
      <x:c r="L24" s="24"/>
      <x:c r="M24" s="22"/>
      <x:c r="N24" s="22"/>
      <x:c r="O24" s="28" t="str">
        <x:f>IF(C24="","รอกรอกชื่อทีม",IF(N24="","รอลิงก์หลักฐาน","มีลิงก์ - ต้องตรวจ"))</x:f>
        <x:v>รอกรอกชื่อทีม</x:v>
      </x:c>
    </x:row>
    <x:row r="25" ht="44" customHeight="1">
      <x:c r="A25" s="19" t="str">
        <x:v>Q03</x:v>
      </x:c>
      <x:c r="B25" s="19" t="str">
        <x:v>ผ่านเดิม 7 ทีม</x:v>
      </x:c>
      <x:c r="C25" s="19"/>
      <x:c r="D25" s="19"/>
      <x:c r="E25" s="19"/>
      <x:c r="F25" s="19"/>
      <x:c r="G25" s="19"/>
      <x:c r="H25" s="19" t="str">
        <x:v>ยังไม่ประเมิน</x:v>
      </x:c>
      <x:c r="I25" s="19"/>
      <x:c r="J25" s="19"/>
      <x:c r="K25" s="19"/>
      <x:c r="L25" s="26"/>
      <x:c r="M25" s="19"/>
      <x:c r="N25" s="19"/>
      <x:c r="O25" s="28" t="str">
        <x:f>IF(C25="","รอกรอกชื่อทีม",IF(N25="","รอลิงก์หลักฐาน","มีลิงก์ - ต้องตรวจ"))</x:f>
        <x:v>รอกรอกชื่อทีม</x:v>
      </x:c>
    </x:row>
    <x:row r="26" ht="44" customHeight="1">
      <x:c r="A26" s="22" t="str">
        <x:v>Q04</x:v>
      </x:c>
      <x:c r="B26" s="22" t="str">
        <x:v>ผ่านเดิม 7 ทีม</x:v>
      </x:c>
      <x:c r="C26" s="22"/>
      <x:c r="D26" s="22"/>
      <x:c r="E26" s="22"/>
      <x:c r="F26" s="22"/>
      <x:c r="G26" s="22"/>
      <x:c r="H26" s="22" t="str">
        <x:v>ยังไม่ประเมิน</x:v>
      </x:c>
      <x:c r="I26" s="22"/>
      <x:c r="J26" s="22"/>
      <x:c r="K26" s="22"/>
      <x:c r="L26" s="24"/>
      <x:c r="M26" s="22"/>
      <x:c r="N26" s="22"/>
      <x:c r="O26" s="28" t="str">
        <x:f>IF(C26="","รอกรอกชื่อทีม",IF(N26="","รอลิงก์หลักฐาน","มีลิงก์ - ต้องตรวจ"))</x:f>
        <x:v>รอกรอกชื่อทีม</x:v>
      </x:c>
    </x:row>
    <x:row r="27" ht="44" customHeight="1">
      <x:c r="A27" s="19" t="str">
        <x:v>Q05</x:v>
      </x:c>
      <x:c r="B27" s="19" t="str">
        <x:v>ผ่านเดิม 7 ทีม</x:v>
      </x:c>
      <x:c r="C27" s="19"/>
      <x:c r="D27" s="19"/>
      <x:c r="E27" s="19"/>
      <x:c r="F27" s="19"/>
      <x:c r="G27" s="19"/>
      <x:c r="H27" s="19" t="str">
        <x:v>ยังไม่ประเมิน</x:v>
      </x:c>
      <x:c r="I27" s="19"/>
      <x:c r="J27" s="19"/>
      <x:c r="K27" s="19"/>
      <x:c r="L27" s="26"/>
      <x:c r="M27" s="19"/>
      <x:c r="N27" s="19"/>
      <x:c r="O27" s="28" t="str">
        <x:f>IF(C27="","รอกรอกชื่อทีม",IF(N27="","รอลิงก์หลักฐาน","มีลิงก์ - ต้องตรวจ"))</x:f>
        <x:v>รอกรอกชื่อทีม</x:v>
      </x:c>
    </x:row>
    <x:row r="28" ht="44" customHeight="1">
      <x:c r="A28" s="22" t="str">
        <x:v>Q06</x:v>
      </x:c>
      <x:c r="B28" s="22" t="str">
        <x:v>ผ่านเดิม 7 ทีม</x:v>
      </x:c>
      <x:c r="C28" s="22"/>
      <x:c r="D28" s="22"/>
      <x:c r="E28" s="22"/>
      <x:c r="F28" s="22"/>
      <x:c r="G28" s="22"/>
      <x:c r="H28" s="22" t="str">
        <x:v>ยังไม่ประเมิน</x:v>
      </x:c>
      <x:c r="I28" s="22"/>
      <x:c r="J28" s="22"/>
      <x:c r="K28" s="22"/>
      <x:c r="L28" s="24"/>
      <x:c r="M28" s="22"/>
      <x:c r="N28" s="22"/>
      <x:c r="O28" s="28" t="str">
        <x:f>IF(C28="","รอกรอกชื่อทีม",IF(N28="","รอลิงก์หลักฐาน","มีลิงก์ - ต้องตรวจ"))</x:f>
        <x:v>รอกรอกชื่อทีม</x:v>
      </x:c>
    </x:row>
    <x:row r="29" ht="44" customHeight="1">
      <x:c r="A29" s="19" t="str">
        <x:v>Q07</x:v>
      </x:c>
      <x:c r="B29" s="19" t="str">
        <x:v>ผ่านเดิม 7 ทีม</x:v>
      </x:c>
      <x:c r="C29" s="19"/>
      <x:c r="D29" s="19"/>
      <x:c r="E29" s="19"/>
      <x:c r="F29" s="19"/>
      <x:c r="G29" s="19"/>
      <x:c r="H29" s="19" t="str">
        <x:v>ยังไม่ประเมิน</x:v>
      </x:c>
      <x:c r="I29" s="19"/>
      <x:c r="J29" s="19"/>
      <x:c r="K29" s="19"/>
      <x:c r="L29" s="26"/>
      <x:c r="M29" s="19"/>
      <x:c r="N29" s="19"/>
      <x:c r="O29" s="28" t="str">
        <x:f>IF(C29="","รอกรอกชื่อทีม",IF(N29="","รอลิงก์หลักฐาน","มีลิงก์ - ต้องตรวจ"))</x:f>
        <x:v>รอกรอกชื่อทีม</x:v>
      </x:c>
    </x:row>
  </x:sheetData>
  <x:mergeCells>
    <x:mergeCell ref="A1:O1"/>
    <x:mergeCell ref="A2:O3"/>
  </x:mergeCells>
  <x:dataValidations count="2">
    <x:dataValidation type="list" sqref="H6:H29">
      <x:formula1>"ยังไม่ประเมิน,ปรับโจทย์,ต้นแบบ,ทดลองจริง,เตรียมระบบจริง,ใช้จริง,ขยายผล,พัก,หยุด"</x:formula1>
    </x:dataValidation>
    <x:dataValidation type="list" sqref="I6:I29">
      <x:formula1>"G1,G2,G3,G4,G5,รอประเมิน"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44" hidden="0" customWidth="1"/>
    <x:col min="4" max="4" width="28" hidden="0" customWidth="1"/>
    <x:col min="5" max="5" width="18" hidden="0" customWidth="1"/>
    <x:col min="6" max="6" width="22" hidden="0" customWidth="1"/>
    <x:col min="7" max="7" width="38" hidden="0" customWidth="1"/>
    <x:col min="8" max="8" width="38" hidden="0" customWidth="1"/>
    <x:col min="9" max="9" width="18" hidden="0" customWidth="1"/>
    <x:col min="10" max="10" width="25" hidden="0" customWidth="1"/>
  </x:cols>
  <x:sheetData>
    <x:row r="1" ht="32" customHeight="1">
      <x:c r="A1" s="3" t="str">
        <x:v>งานและประเด็นติดขัด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8" t="str">
        <x:v>5 รายการ START เป็นข้อเสนอเริ่มต้น ไม่ใช่งานที่ได้รับมอบหมายหรือสถานะจริง • วันที่เตือนงานอิง 00_Start!B6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</x:row>
    <x:row r="5" ht="32" customHeight="1">
      <x:c r="A5" s="14" t="str">
        <x:v>Action ID</x:v>
      </x:c>
      <x:c r="B5" s="14" t="str">
        <x:v>Team ID</x:v>
      </x:c>
      <x:c r="C5" s="14" t="str">
        <x:v>งาน / สิ่งที่ต้องพิสูจน์</x:v>
      </x:c>
      <x:c r="D5" s="14" t="str">
        <x:v>ผู้รับผิดชอบ</x:v>
      </x:c>
      <x:c r="E5" s="14" t="str">
        <x:v>กำหนดส่ง</x:v>
      </x:c>
      <x:c r="F5" s="14" t="str">
        <x:v>สถานะ</x:v>
      </x:c>
      <x:c r="G5" s="14" t="str">
        <x:v>ลิงก์หลักฐาน</x:v>
      </x:c>
      <x:c r="H5" s="14" t="str">
        <x:v>สิ่งที่ติด</x:v>
      </x:c>
      <x:c r="I5" s="14" t="str">
        <x:v>วันที่เสร็จ</x:v>
      </x:c>
      <x:c r="J5" s="14" t="str">
        <x:v>การเตือน</x:v>
      </x:c>
    </x:row>
    <x:row r="6" ht="44" customHeight="1">
      <x:c r="A6" s="22" t="str">
        <x:v>START-01</x:v>
      </x:c>
      <x:c r="B6" s="22" t="str">
        <x:v>โปรแกรม</x:v>
      </x:c>
      <x:c r="C6" s="22" t="str">
        <x:v>รวบรวมเกณฑ์เดิม คะแนน/คอมเมนต์ และสิทธิ์เข้าถึง</x:v>
      </x:c>
      <x:c r="D6" s="22" t="str">
        <x:v>Earth</x:v>
      </x:c>
      <x:c r="E6" s="24"/>
      <x:c r="F6" s="22" t="str">
        <x:v>ยังไม่ยืนยัน</x:v>
      </x:c>
      <x:c r="G6" s="22"/>
      <x:c r="H6" s="22" t="str">
        <x:v>รอตรวจต้นฉบับ</x:v>
      </x:c>
      <x:c r="I6" s="24"/>
      <x:c r="J6" s="28" t="str">
        <x:f>IF(A6="","",IF(OR(E6="",F6="เสร็จ",F6="ยกเลิก"),"",IF(E6&lt;'00_Start'!$B$6,"เลยวันที่กำหนด","ยังไม่เลยกำหนด")))</x:f>
      </x:c>
    </x:row>
    <x:row r="7" ht="44" customHeight="1">
      <x:c r="A7" s="19" t="str">
        <x:v>START-02</x:v>
      </x:c>
      <x:c r="B7" s="19" t="str">
        <x:v>โปรแกรม</x:v>
      </x:c>
      <x:c r="C7" s="19" t="str">
        <x:v>ยืนยันวัน Challenge และคิว COO/Mentor</x:v>
      </x:c>
      <x:c r="D7" s="19" t="str">
        <x:v>Earth</x:v>
      </x:c>
      <x:c r="E7" s="26"/>
      <x:c r="F7" s="19" t="str">
        <x:v>ยังไม่ยืนยัน</x:v>
      </x:c>
      <x:c r="G7" s="19"/>
      <x:c r="H7" s="19" t="str">
        <x:v>วันจริงยังไม่ทราบ</x:v>
      </x:c>
      <x:c r="I7" s="26"/>
      <x:c r="J7" s="28" t="str">
        <x:f>IF(A7="","",IF(OR(E7="",F7="เสร็จ",F7="ยกเลิก"),"",IF(E7&lt;'00_Start'!$B$6,"เลยวันที่กำหนด","ยังไม่เลยกำหนด")))</x:f>
      </x:c>
    </x:row>
    <x:row r="8" ht="44" customHeight="1">
      <x:c r="A8" s="22" t="str">
        <x:v>START-03</x:v>
      </x:c>
      <x:c r="B8" s="22" t="str">
        <x:v>โปรแกรม</x:v>
      </x:c>
      <x:c r="C8" s="22" t="str">
        <x:v>ตรวจนโยบายข้อมูล บัญชี AI และขอบเขตใช้งาน</x:v>
      </x:c>
      <x:c r="D8" s="22" t="str">
        <x:v>IT/Data/Governance</x:v>
      </x:c>
      <x:c r="E8" s="24"/>
      <x:c r="F8" s="22" t="str">
        <x:v>ยังไม่ยืนยัน</x:v>
      </x:c>
      <x:c r="G8" s="22"/>
      <x:c r="H8" s="22" t="str">
        <x:v>รอผู้รับผิดชอบยืนยัน</x:v>
      </x:c>
      <x:c r="I8" s="24"/>
      <x:c r="J8" s="28" t="str">
        <x:f>IF(A8="","",IF(OR(E8="",F8="เสร็จ",F8="ยกเลิก"),"",IF(E8&lt;'00_Start'!$B$6,"เลยวันที่กำหนด","ยังไม่เลยกำหนด")))</x:f>
      </x:c>
    </x:row>
    <x:row r="9" ht="44" customHeight="1">
      <x:c r="A9" s="19" t="str">
        <x:v>START-04</x:v>
      </x:c>
      <x:c r="B9" s="19" t="str">
        <x:v>โปรแกรม</x:v>
      </x:c>
      <x:c r="C9" s="19" t="str">
        <x:v>ยืนยัน Business Owner / Mentor และผู้มีอำนาจแต่ละด่าน</x:v>
      </x:c>
      <x:c r="D9" s="19" t="str">
        <x:v>COO/หน่วยงาน</x:v>
      </x:c>
      <x:c r="E9" s="26"/>
      <x:c r="F9" s="19" t="str">
        <x:v>ยังไม่ยืนยัน</x:v>
      </x:c>
      <x:c r="G9" s="19"/>
      <x:c r="H9" s="19" t="str">
        <x:v>การแต่งตั้ง/อำนาจยังไม่ยืนยัน</x:v>
      </x:c>
      <x:c r="I9" s="26"/>
      <x:c r="J9" s="28" t="str">
        <x:f>IF(A9="","",IF(OR(E9="",F9="เสร็จ",F9="ยกเลิก"),"",IF(E9&lt;'00_Start'!$B$6,"เลยวันที่กำหนด","ยังไม่เลยกำหนด")))</x:f>
      </x:c>
    </x:row>
    <x:row r="10" ht="44" customHeight="1">
      <x:c r="A10" s="22" t="str">
        <x:v>START-05</x:v>
      </x:c>
      <x:c r="B10" s="22" t="str">
        <x:v>โปรแกรม</x:v>
      </x:c>
      <x:c r="C10" s="22" t="str">
        <x:v>เลือกทีมหนึ่งทีมทดลองการวินิจฉัยและปรับแบบฟอร์ม</x:v>
      </x:c>
      <x:c r="D10" s="22" t="str">
        <x:v>Earth + Mentor</x:v>
      </x:c>
      <x:c r="E10" s="24"/>
      <x:c r="F10" s="22" t="str">
        <x:v>ยังไม่ยืนยัน</x:v>
      </x:c>
      <x:c r="G10" s="22"/>
      <x:c r="H10" s="22"/>
      <x:c r="I10" s="24"/>
      <x:c r="J10" s="28" t="str">
        <x:f>IF(A10="","",IF(OR(E10="",F10="เสร็จ",F10="ยกเลิก"),"",IF(E10&lt;'00_Start'!$B$6,"เลยวันที่กำหนด","ยังไม่เลยกำหนด")))</x:f>
      </x:c>
    </x:row>
    <x:row r="11" ht="44" customHeight="1">
      <x:c r="A11" s="19"/>
      <x:c r="B11" s="19"/>
      <x:c r="C11" s="19"/>
      <x:c r="D11" s="19"/>
      <x:c r="E11" s="26"/>
      <x:c r="F11" s="19"/>
      <x:c r="G11" s="19"/>
      <x:c r="H11" s="19"/>
      <x:c r="I11" s="26"/>
      <x:c r="J11" s="28" t="str">
        <x:f>IF(A11="","",IF(OR(E11="",F11="เสร็จ",F11="ยกเลิก"),"",IF(E11&lt;'00_Start'!$B$6,"เลยวันที่กำหนด","ยังไม่เลยกำหนด")))</x:f>
      </x:c>
    </x:row>
    <x:row r="12" ht="44" customHeight="1">
      <x:c r="A12" s="22"/>
      <x:c r="B12" s="22"/>
      <x:c r="C12" s="22"/>
      <x:c r="D12" s="22"/>
      <x:c r="E12" s="24"/>
      <x:c r="F12" s="22"/>
      <x:c r="G12" s="22"/>
      <x:c r="H12" s="22"/>
      <x:c r="I12" s="24"/>
      <x:c r="J12" s="28" t="str">
        <x:f>IF(A12="","",IF(OR(E12="",F12="เสร็จ",F12="ยกเลิก"),"",IF(E12&lt;'00_Start'!$B$6,"เลยวันที่กำหนด","ยังไม่เลยกำหนด")))</x:f>
      </x:c>
    </x:row>
    <x:row r="13" ht="44" customHeight="1">
      <x:c r="A13" s="19"/>
      <x:c r="B13" s="19"/>
      <x:c r="C13" s="19"/>
      <x:c r="D13" s="19"/>
      <x:c r="E13" s="26"/>
      <x:c r="F13" s="19"/>
      <x:c r="G13" s="19"/>
      <x:c r="H13" s="19"/>
      <x:c r="I13" s="26"/>
      <x:c r="J13" s="28" t="str">
        <x:f>IF(A13="","",IF(OR(E13="",F13="เสร็จ",F13="ยกเลิก"),"",IF(E13&lt;'00_Start'!$B$6,"เลยวันที่กำหนด","ยังไม่เลยกำหนด")))</x:f>
      </x:c>
    </x:row>
    <x:row r="14" ht="44" customHeight="1">
      <x:c r="A14" s="22"/>
      <x:c r="B14" s="22"/>
      <x:c r="C14" s="22"/>
      <x:c r="D14" s="22"/>
      <x:c r="E14" s="24"/>
      <x:c r="F14" s="22"/>
      <x:c r="G14" s="22"/>
      <x:c r="H14" s="22"/>
      <x:c r="I14" s="24"/>
      <x:c r="J14" s="28" t="str">
        <x:f>IF(A14="","",IF(OR(E14="",F14="เสร็จ",F14="ยกเลิก"),"",IF(E14&lt;'00_Start'!$B$6,"เลยวันที่กำหนด","ยังไม่เลยกำหนด")))</x:f>
      </x:c>
    </x:row>
    <x:row r="15" ht="44" customHeight="1">
      <x:c r="A15" s="19"/>
      <x:c r="B15" s="19"/>
      <x:c r="C15" s="19"/>
      <x:c r="D15" s="19"/>
      <x:c r="E15" s="26"/>
      <x:c r="F15" s="19"/>
      <x:c r="G15" s="19"/>
      <x:c r="H15" s="19"/>
      <x:c r="I15" s="26"/>
      <x:c r="J15" s="28" t="str">
        <x:f>IF(A15="","",IF(OR(E15="",F15="เสร็จ",F15="ยกเลิก"),"",IF(E15&lt;'00_Start'!$B$6,"เลยวันที่กำหนด","ยังไม่เลยกำหนด")))</x:f>
      </x:c>
    </x:row>
    <x:row r="16" ht="44" customHeight="1">
      <x:c r="A16" s="22"/>
      <x:c r="B16" s="22"/>
      <x:c r="C16" s="22"/>
      <x:c r="D16" s="22"/>
      <x:c r="E16" s="24"/>
      <x:c r="F16" s="22"/>
      <x:c r="G16" s="22"/>
      <x:c r="H16" s="22"/>
      <x:c r="I16" s="24"/>
      <x:c r="J16" s="28" t="str">
        <x:f>IF(A16="","",IF(OR(E16="",F16="เสร็จ",F16="ยกเลิก"),"",IF(E16&lt;'00_Start'!$B$6,"เลยวันที่กำหนด","ยังไม่เลยกำหนด")))</x:f>
      </x:c>
    </x:row>
    <x:row r="17" ht="44" customHeight="1">
      <x:c r="A17" s="19"/>
      <x:c r="B17" s="19"/>
      <x:c r="C17" s="19"/>
      <x:c r="D17" s="19"/>
      <x:c r="E17" s="26"/>
      <x:c r="F17" s="19"/>
      <x:c r="G17" s="19"/>
      <x:c r="H17" s="19"/>
      <x:c r="I17" s="26"/>
      <x:c r="J17" s="28" t="str">
        <x:f>IF(A17="","",IF(OR(E17="",F17="เสร็จ",F17="ยกเลิก"),"",IF(E17&lt;'00_Start'!$B$6,"เลยวันที่กำหนด","ยังไม่เลยกำหนด")))</x:f>
      </x:c>
    </x:row>
    <x:row r="18" ht="44" customHeight="1">
      <x:c r="A18" s="22"/>
      <x:c r="B18" s="22"/>
      <x:c r="C18" s="22"/>
      <x:c r="D18" s="22"/>
      <x:c r="E18" s="24"/>
      <x:c r="F18" s="22"/>
      <x:c r="G18" s="22"/>
      <x:c r="H18" s="22"/>
      <x:c r="I18" s="24"/>
      <x:c r="J18" s="28" t="str">
        <x:f>IF(A18="","",IF(OR(E18="",F18="เสร็จ",F18="ยกเลิก"),"",IF(E18&lt;'00_Start'!$B$6,"เลยวันที่กำหนด","ยังไม่เลยกำหนด")))</x:f>
      </x:c>
    </x:row>
    <x:row r="19" ht="44" customHeight="1">
      <x:c r="A19" s="19"/>
      <x:c r="B19" s="19"/>
      <x:c r="C19" s="19"/>
      <x:c r="D19" s="19"/>
      <x:c r="E19" s="26"/>
      <x:c r="F19" s="19"/>
      <x:c r="G19" s="19"/>
      <x:c r="H19" s="19"/>
      <x:c r="I19" s="26"/>
      <x:c r="J19" s="28" t="str">
        <x:f>IF(A19="","",IF(OR(E19="",F19="เสร็จ",F19="ยกเลิก"),"",IF(E19&lt;'00_Start'!$B$6,"เลยวันที่กำหนด","ยังไม่เลยกำหนด")))</x:f>
      </x:c>
    </x:row>
    <x:row r="20" ht="44" customHeight="1">
      <x:c r="A20" s="22"/>
      <x:c r="B20" s="22"/>
      <x:c r="C20" s="22"/>
      <x:c r="D20" s="22"/>
      <x:c r="E20" s="24"/>
      <x:c r="F20" s="22"/>
      <x:c r="G20" s="22"/>
      <x:c r="H20" s="22"/>
      <x:c r="I20" s="24"/>
      <x:c r="J20" s="28" t="str">
        <x:f>IF(A20="","",IF(OR(E20="",F20="เสร็จ",F20="ยกเลิก"),"",IF(E20&lt;'00_Start'!$B$6,"เลยวันที่กำหนด","ยังไม่เลยกำหนด")))</x:f>
      </x:c>
    </x:row>
    <x:row r="21" ht="44" customHeight="1">
      <x:c r="A21" s="19"/>
      <x:c r="B21" s="19"/>
      <x:c r="C21" s="19"/>
      <x:c r="D21" s="19"/>
      <x:c r="E21" s="26"/>
      <x:c r="F21" s="19"/>
      <x:c r="G21" s="19"/>
      <x:c r="H21" s="19"/>
      <x:c r="I21" s="26"/>
      <x:c r="J21" s="28" t="str">
        <x:f>IF(A21="","",IF(OR(E21="",F21="เสร็จ",F21="ยกเลิก"),"",IF(E21&lt;'00_Start'!$B$6,"เลยวันที่กำหนด","ยังไม่เลยกำหนด")))</x:f>
      </x:c>
    </x:row>
    <x:row r="22" ht="44" customHeight="1">
      <x:c r="A22" s="22"/>
      <x:c r="B22" s="22"/>
      <x:c r="C22" s="22"/>
      <x:c r="D22" s="22"/>
      <x:c r="E22" s="24"/>
      <x:c r="F22" s="22"/>
      <x:c r="G22" s="22"/>
      <x:c r="H22" s="22"/>
      <x:c r="I22" s="24"/>
      <x:c r="J22" s="28" t="str">
        <x:f>IF(A22="","",IF(OR(E22="",F22="เสร็จ",F22="ยกเลิก"),"",IF(E22&lt;'00_Start'!$B$6,"เลยวันที่กำหนด","ยังไม่เลยกำหนด")))</x:f>
      </x:c>
    </x:row>
    <x:row r="23" ht="44" customHeight="1">
      <x:c r="A23" s="19"/>
      <x:c r="B23" s="19"/>
      <x:c r="C23" s="19"/>
      <x:c r="D23" s="19"/>
      <x:c r="E23" s="26"/>
      <x:c r="F23" s="19"/>
      <x:c r="G23" s="19"/>
      <x:c r="H23" s="19"/>
      <x:c r="I23" s="26"/>
      <x:c r="J23" s="28" t="str">
        <x:f>IF(A23="","",IF(OR(E23="",F23="เสร็จ",F23="ยกเลิก"),"",IF(E23&lt;'00_Start'!$B$6,"เลยวันที่กำหนด","ยังไม่เลยกำหนด")))</x:f>
      </x:c>
    </x:row>
    <x:row r="24" ht="44" customHeight="1">
      <x:c r="A24" s="22"/>
      <x:c r="B24" s="22"/>
      <x:c r="C24" s="22"/>
      <x:c r="D24" s="22"/>
      <x:c r="E24" s="24"/>
      <x:c r="F24" s="22"/>
      <x:c r="G24" s="22"/>
      <x:c r="H24" s="22"/>
      <x:c r="I24" s="24"/>
      <x:c r="J24" s="28" t="str">
        <x:f>IF(A24="","",IF(OR(E24="",F24="เสร็จ",F24="ยกเลิก"),"",IF(E24&lt;'00_Start'!$B$6,"เลยวันที่กำหนด","ยังไม่เลยกำหนด")))</x:f>
      </x:c>
    </x:row>
    <x:row r="25" ht="44" customHeight="1">
      <x:c r="A25" s="19"/>
      <x:c r="B25" s="19"/>
      <x:c r="C25" s="19"/>
      <x:c r="D25" s="19"/>
      <x:c r="E25" s="26"/>
      <x:c r="F25" s="19"/>
      <x:c r="G25" s="19"/>
      <x:c r="H25" s="19"/>
      <x:c r="I25" s="26"/>
      <x:c r="J25" s="28" t="str">
        <x:f>IF(A25="","",IF(OR(E25="",F25="เสร็จ",F25="ยกเลิก"),"",IF(E25&lt;'00_Start'!$B$6,"เลยวันที่กำหนด","ยังไม่เลยกำหนด")))</x:f>
      </x:c>
    </x:row>
    <x:row r="26" ht="44" customHeight="1">
      <x:c r="A26" s="22"/>
      <x:c r="B26" s="22"/>
      <x:c r="C26" s="22"/>
      <x:c r="D26" s="22"/>
      <x:c r="E26" s="24"/>
      <x:c r="F26" s="22"/>
      <x:c r="G26" s="22"/>
      <x:c r="H26" s="22"/>
      <x:c r="I26" s="24"/>
      <x:c r="J26" s="28" t="str">
        <x:f>IF(A26="","",IF(OR(E26="",F26="เสร็จ",F26="ยกเลิก"),"",IF(E26&lt;'00_Start'!$B$6,"เลยวันที่กำหนด","ยังไม่เลยกำหนด")))</x:f>
      </x:c>
    </x:row>
    <x:row r="27" ht="44" customHeight="1">
      <x:c r="A27" s="19"/>
      <x:c r="B27" s="19"/>
      <x:c r="C27" s="19"/>
      <x:c r="D27" s="19"/>
      <x:c r="E27" s="26"/>
      <x:c r="F27" s="19"/>
      <x:c r="G27" s="19"/>
      <x:c r="H27" s="19"/>
      <x:c r="I27" s="26"/>
      <x:c r="J27" s="28" t="str">
        <x:f>IF(A27="","",IF(OR(E27="",F27="เสร็จ",F27="ยกเลิก"),"",IF(E27&lt;'00_Start'!$B$6,"เลยวันที่กำหนด","ยังไม่เลยกำหนด")))</x:f>
      </x:c>
    </x:row>
    <x:row r="28" ht="44" customHeight="1">
      <x:c r="A28" s="22"/>
      <x:c r="B28" s="22"/>
      <x:c r="C28" s="22"/>
      <x:c r="D28" s="22"/>
      <x:c r="E28" s="24"/>
      <x:c r="F28" s="22"/>
      <x:c r="G28" s="22"/>
      <x:c r="H28" s="22"/>
      <x:c r="I28" s="24"/>
      <x:c r="J28" s="28" t="str">
        <x:f>IF(A28="","",IF(OR(E28="",F28="เสร็จ",F28="ยกเลิก"),"",IF(E28&lt;'00_Start'!$B$6,"เลยวันที่กำหนด","ยังไม่เลยกำหนด")))</x:f>
      </x:c>
    </x:row>
    <x:row r="29" ht="44" customHeight="1">
      <x:c r="A29" s="19"/>
      <x:c r="B29" s="19"/>
      <x:c r="C29" s="19"/>
      <x:c r="D29" s="19"/>
      <x:c r="E29" s="26"/>
      <x:c r="F29" s="19"/>
      <x:c r="G29" s="19"/>
      <x:c r="H29" s="19"/>
      <x:c r="I29" s="26"/>
      <x:c r="J29" s="28" t="str">
        <x:f>IF(A29="","",IF(OR(E29="",F29="เสร็จ",F29="ยกเลิก"),"",IF(E29&lt;'00_Start'!$B$6,"เลยวันที่กำหนด","ยังไม่เลยกำหนด")))</x:f>
      </x:c>
    </x:row>
    <x:row r="30" ht="44" customHeight="1">
      <x:c r="A30" s="22"/>
      <x:c r="B30" s="22"/>
      <x:c r="C30" s="22"/>
      <x:c r="D30" s="22"/>
      <x:c r="E30" s="24"/>
      <x:c r="F30" s="22"/>
      <x:c r="G30" s="22"/>
      <x:c r="H30" s="22"/>
      <x:c r="I30" s="24"/>
      <x:c r="J30" s="28" t="str">
        <x:f>IF(A30="","",IF(OR(E30="",F30="เสร็จ",F30="ยกเลิก"),"",IF(E30&lt;'00_Start'!$B$6,"เลยวันที่กำหนด","ยังไม่เลยกำหนด")))</x:f>
      </x:c>
    </x:row>
    <x:row r="31" ht="44" customHeight="1">
      <x:c r="A31" s="19"/>
      <x:c r="B31" s="19"/>
      <x:c r="C31" s="19"/>
      <x:c r="D31" s="19"/>
      <x:c r="E31" s="26"/>
      <x:c r="F31" s="19"/>
      <x:c r="G31" s="19"/>
      <x:c r="H31" s="19"/>
      <x:c r="I31" s="26"/>
      <x:c r="J31" s="28" t="str">
        <x:f>IF(A31="","",IF(OR(E31="",F31="เสร็จ",F31="ยกเลิก"),"",IF(E31&lt;'00_Start'!$B$6,"เลยวันที่กำหนด","ยังไม่เลยกำหนด")))</x:f>
      </x:c>
    </x:row>
    <x:row r="32" ht="44" customHeight="1">
      <x:c r="A32" s="22"/>
      <x:c r="B32" s="22"/>
      <x:c r="C32" s="22"/>
      <x:c r="D32" s="22"/>
      <x:c r="E32" s="24"/>
      <x:c r="F32" s="22"/>
      <x:c r="G32" s="22"/>
      <x:c r="H32" s="22"/>
      <x:c r="I32" s="24"/>
      <x:c r="J32" s="28" t="str">
        <x:f>IF(A32="","",IF(OR(E32="",F32="เสร็จ",F32="ยกเลิก"),"",IF(E32&lt;'00_Start'!$B$6,"เลยวันที่กำหนด","ยังไม่เลยกำหนด")))</x:f>
      </x:c>
    </x:row>
    <x:row r="33" ht="44" customHeight="1">
      <x:c r="A33" s="19"/>
      <x:c r="B33" s="19"/>
      <x:c r="C33" s="19"/>
      <x:c r="D33" s="19"/>
      <x:c r="E33" s="26"/>
      <x:c r="F33" s="19"/>
      <x:c r="G33" s="19"/>
      <x:c r="H33" s="19"/>
      <x:c r="I33" s="26"/>
      <x:c r="J33" s="28" t="str">
        <x:f>IF(A33="","",IF(OR(E33="",F33="เสร็จ",F33="ยกเลิก"),"",IF(E33&lt;'00_Start'!$B$6,"เลยวันที่กำหนด","ยังไม่เลยกำหนด")))</x:f>
      </x:c>
    </x:row>
    <x:row r="34" ht="44" customHeight="1">
      <x:c r="A34" s="22"/>
      <x:c r="B34" s="22"/>
      <x:c r="C34" s="22"/>
      <x:c r="D34" s="22"/>
      <x:c r="E34" s="24"/>
      <x:c r="F34" s="22"/>
      <x:c r="G34" s="22"/>
      <x:c r="H34" s="22"/>
      <x:c r="I34" s="24"/>
      <x:c r="J34" s="28" t="str">
        <x:f>IF(A34="","",IF(OR(E34="",F34="เสร็จ",F34="ยกเลิก"),"",IF(E34&lt;'00_Start'!$B$6,"เลยวันที่กำหนด","ยังไม่เลยกำหนด")))</x:f>
      </x:c>
    </x:row>
    <x:row r="35" ht="44" customHeight="1">
      <x:c r="A35" s="19"/>
      <x:c r="B35" s="19"/>
      <x:c r="C35" s="19"/>
      <x:c r="D35" s="19"/>
      <x:c r="E35" s="26"/>
      <x:c r="F35" s="19"/>
      <x:c r="G35" s="19"/>
      <x:c r="H35" s="19"/>
      <x:c r="I35" s="26"/>
      <x:c r="J35" s="28" t="str">
        <x:f>IF(A35="","",IF(OR(E35="",F35="เสร็จ",F35="ยกเลิก"),"",IF(E35&lt;'00_Start'!$B$6,"เลยวันที่กำหนด","ยังไม่เลยกำหนด")))</x:f>
      </x:c>
    </x:row>
  </x:sheetData>
  <x:mergeCells>
    <x:mergeCell ref="A1:J1"/>
    <x:mergeCell ref="A2:J3"/>
  </x:mergeCells>
  <x:conditionalFormatting sqref="J6:J35">
    <x:cfRule type="expression" dxfId="0" priority="1">
      <x:formula>J6="เลยวันที่กำหนด"</x:formula>
    </x:cfRule>
  </x:conditionalFormatting>
  <x:dataValidations count="1">
    <x:dataValidation type="list" sqref="F6:F35">
      <x:formula1>"ยังไม่ยืนยัน,รอเริ่ม,กำลังทำ,ติดขัด,เสร็จ,ยกเลิก"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28" hidden="0" customWidth="1"/>
    <x:col min="5" max="5" width="18" hidden="0" customWidth="1"/>
    <x:col min="6" max="6" width="16" hidden="0" customWidth="1"/>
    <x:col min="7" max="7" width="42" hidden="0" customWidth="1"/>
    <x:col min="8" max="8" width="24" hidden="0" customWidth="1"/>
    <x:col min="9" max="9" width="24" hidden="0" customWidth="1"/>
    <x:col min="10" max="10" width="42" hidden="0" customWidth="1"/>
    <x:col min="11" max="11" width="32" hidden="0" customWidth="1"/>
  </x:cols>
  <x:sheetData>
    <x:row r="1" ht="32" customHeight="1">
      <x:c r="A1" s="3" t="str">
        <x:v>ทะเบียนหลักฐาน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8" t="str">
        <x:v>หนึ่งแถวต่อหลักฐาน • ใส่ลิงก์ไฟล์ที่มีสิทธิ์เข้าถึงจริง เวอร์ชัน วันข้อมูล และผู้ยืนยันตามหน้าที่; ไม่อัปโหลดข้อมูลจริงซ้ำในแฟ้มนี้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5" ht="32" customHeight="1">
      <x:c r="A5" s="14" t="str">
        <x:v>Evidence ID</x:v>
      </x:c>
      <x:c r="B5" s="14" t="str">
        <x:v>Team ID</x:v>
      </x:c>
      <x:c r="C5" s="14" t="str">
        <x:v>ด่าน</x:v>
      </x:c>
      <x:c r="D5" s="14" t="str">
        <x:v>ชนิดหลักฐาน</x:v>
      </x:c>
      <x:c r="E5" s="14" t="str">
        <x:v>วันที่ข้อมูล</x:v>
      </x:c>
      <x:c r="F5" s="14" t="str">
        <x:v>เวอร์ชัน</x:v>
      </x:c>
      <x:c r="G5" s="14" t="str">
        <x:v>ลิงก์ต้นฉบับ</x:v>
      </x:c>
      <x:c r="H5" s="14" t="str">
        <x:v>ผู้ยืนยัน</x:v>
      </x:c>
      <x:c r="I5" s="14" t="str">
        <x:v>ผล QC</x:v>
      </x:c>
      <x:c r="J5" s="14" t="str">
        <x:v>ข้อจำกัด</x:v>
      </x:c>
      <x:c r="K5" s="14" t="str">
        <x:v>สิทธิ์เข้าถึง</x:v>
      </x:c>
    </x:row>
    <x:row r="6" ht="44" customHeight="1">
      <x:c r="A6" s="22"/>
      <x:c r="B6" s="22"/>
      <x:c r="C6" s="22"/>
      <x:c r="D6" s="22"/>
      <x:c r="E6" s="24"/>
      <x:c r="F6" s="22"/>
      <x:c r="G6" s="22"/>
      <x:c r="H6" s="22"/>
      <x:c r="I6" s="22"/>
      <x:c r="J6" s="22"/>
      <x:c r="K6" s="22"/>
    </x:row>
    <x:row r="7" ht="44" customHeight="1">
      <x:c r="A7" s="19"/>
      <x:c r="B7" s="19"/>
      <x:c r="C7" s="19"/>
      <x:c r="D7" s="19"/>
      <x:c r="E7" s="26"/>
      <x:c r="F7" s="19"/>
      <x:c r="G7" s="19"/>
      <x:c r="H7" s="19"/>
      <x:c r="I7" s="19"/>
      <x:c r="J7" s="19"/>
      <x:c r="K7" s="19"/>
    </x:row>
    <x:row r="8" ht="44" customHeight="1">
      <x:c r="A8" s="22"/>
      <x:c r="B8" s="22"/>
      <x:c r="C8" s="22"/>
      <x:c r="D8" s="22"/>
      <x:c r="E8" s="24"/>
      <x:c r="F8" s="22"/>
      <x:c r="G8" s="22"/>
      <x:c r="H8" s="22"/>
      <x:c r="I8" s="22"/>
      <x:c r="J8" s="22"/>
      <x:c r="K8" s="22"/>
    </x:row>
    <x:row r="9" ht="44" customHeight="1">
      <x:c r="A9" s="19"/>
      <x:c r="B9" s="19"/>
      <x:c r="C9" s="19"/>
      <x:c r="D9" s="19"/>
      <x:c r="E9" s="26"/>
      <x:c r="F9" s="19"/>
      <x:c r="G9" s="19"/>
      <x:c r="H9" s="19"/>
      <x:c r="I9" s="19"/>
      <x:c r="J9" s="19"/>
      <x:c r="K9" s="19"/>
    </x:row>
    <x:row r="10" ht="44" customHeight="1">
      <x:c r="A10" s="22"/>
      <x:c r="B10" s="22"/>
      <x:c r="C10" s="22"/>
      <x:c r="D10" s="22"/>
      <x:c r="E10" s="24"/>
      <x:c r="F10" s="22"/>
      <x:c r="G10" s="22"/>
      <x:c r="H10" s="22"/>
      <x:c r="I10" s="22"/>
      <x:c r="J10" s="22"/>
      <x:c r="K10" s="22"/>
    </x:row>
    <x:row r="11" ht="44" customHeight="1">
      <x:c r="A11" s="19"/>
      <x:c r="B11" s="19"/>
      <x:c r="C11" s="19"/>
      <x:c r="D11" s="19"/>
      <x:c r="E11" s="26"/>
      <x:c r="F11" s="19"/>
      <x:c r="G11" s="19"/>
      <x:c r="H11" s="19"/>
      <x:c r="I11" s="19"/>
      <x:c r="J11" s="19"/>
      <x:c r="K11" s="19"/>
    </x:row>
    <x:row r="12" ht="44" customHeight="1">
      <x:c r="A12" s="22"/>
      <x:c r="B12" s="22"/>
      <x:c r="C12" s="22"/>
      <x:c r="D12" s="22"/>
      <x:c r="E12" s="24"/>
      <x:c r="F12" s="22"/>
      <x:c r="G12" s="22"/>
      <x:c r="H12" s="22"/>
      <x:c r="I12" s="22"/>
      <x:c r="J12" s="22"/>
      <x:c r="K12" s="22"/>
    </x:row>
    <x:row r="13" ht="44" customHeight="1">
      <x:c r="A13" s="19"/>
      <x:c r="B13" s="19"/>
      <x:c r="C13" s="19"/>
      <x:c r="D13" s="19"/>
      <x:c r="E13" s="26"/>
      <x:c r="F13" s="19"/>
      <x:c r="G13" s="19"/>
      <x:c r="H13" s="19"/>
      <x:c r="I13" s="19"/>
      <x:c r="J13" s="19"/>
      <x:c r="K13" s="19"/>
    </x:row>
    <x:row r="14" ht="44" customHeight="1">
      <x:c r="A14" s="22"/>
      <x:c r="B14" s="22"/>
      <x:c r="C14" s="22"/>
      <x:c r="D14" s="22"/>
      <x:c r="E14" s="24"/>
      <x:c r="F14" s="22"/>
      <x:c r="G14" s="22"/>
      <x:c r="H14" s="22"/>
      <x:c r="I14" s="22"/>
      <x:c r="J14" s="22"/>
      <x:c r="K14" s="22"/>
    </x:row>
    <x:row r="15" ht="44" customHeight="1">
      <x:c r="A15" s="19"/>
      <x:c r="B15" s="19"/>
      <x:c r="C15" s="19"/>
      <x:c r="D15" s="19"/>
      <x:c r="E15" s="26"/>
      <x:c r="F15" s="19"/>
      <x:c r="G15" s="19"/>
      <x:c r="H15" s="19"/>
      <x:c r="I15" s="19"/>
      <x:c r="J15" s="19"/>
      <x:c r="K15" s="19"/>
    </x:row>
    <x:row r="16" ht="44" customHeight="1">
      <x:c r="A16" s="22"/>
      <x:c r="B16" s="22"/>
      <x:c r="C16" s="22"/>
      <x:c r="D16" s="22"/>
      <x:c r="E16" s="24"/>
      <x:c r="F16" s="22"/>
      <x:c r="G16" s="22"/>
      <x:c r="H16" s="22"/>
      <x:c r="I16" s="22"/>
      <x:c r="J16" s="22"/>
      <x:c r="K16" s="22"/>
    </x:row>
    <x:row r="17" ht="44" customHeight="1">
      <x:c r="A17" s="19"/>
      <x:c r="B17" s="19"/>
      <x:c r="C17" s="19"/>
      <x:c r="D17" s="19"/>
      <x:c r="E17" s="26"/>
      <x:c r="F17" s="19"/>
      <x:c r="G17" s="19"/>
      <x:c r="H17" s="19"/>
      <x:c r="I17" s="19"/>
      <x:c r="J17" s="19"/>
      <x:c r="K17" s="19"/>
    </x:row>
    <x:row r="18" ht="44" customHeight="1">
      <x:c r="A18" s="22"/>
      <x:c r="B18" s="22"/>
      <x:c r="C18" s="22"/>
      <x:c r="D18" s="22"/>
      <x:c r="E18" s="24"/>
      <x:c r="F18" s="22"/>
      <x:c r="G18" s="22"/>
      <x:c r="H18" s="22"/>
      <x:c r="I18" s="22"/>
      <x:c r="J18" s="22"/>
      <x:c r="K18" s="22"/>
    </x:row>
    <x:row r="19" ht="44" customHeight="1">
      <x:c r="A19" s="19"/>
      <x:c r="B19" s="19"/>
      <x:c r="C19" s="19"/>
      <x:c r="D19" s="19"/>
      <x:c r="E19" s="26"/>
      <x:c r="F19" s="19"/>
      <x:c r="G19" s="19"/>
      <x:c r="H19" s="19"/>
      <x:c r="I19" s="19"/>
      <x:c r="J19" s="19"/>
      <x:c r="K19" s="19"/>
    </x:row>
    <x:row r="20" ht="44" customHeight="1">
      <x:c r="A20" s="22"/>
      <x:c r="B20" s="22"/>
      <x:c r="C20" s="22"/>
      <x:c r="D20" s="22"/>
      <x:c r="E20" s="24"/>
      <x:c r="F20" s="22"/>
      <x:c r="G20" s="22"/>
      <x:c r="H20" s="22"/>
      <x:c r="I20" s="22"/>
      <x:c r="J20" s="22"/>
      <x:c r="K20" s="22"/>
    </x:row>
    <x:row r="21" ht="44" customHeight="1">
      <x:c r="A21" s="19"/>
      <x:c r="B21" s="19"/>
      <x:c r="C21" s="19"/>
      <x:c r="D21" s="19"/>
      <x:c r="E21" s="26"/>
      <x:c r="F21" s="19"/>
      <x:c r="G21" s="19"/>
      <x:c r="H21" s="19"/>
      <x:c r="I21" s="19"/>
      <x:c r="J21" s="19"/>
      <x:c r="K21" s="19"/>
    </x:row>
    <x:row r="22" ht="44" customHeight="1">
      <x:c r="A22" s="22"/>
      <x:c r="B22" s="22"/>
      <x:c r="C22" s="22"/>
      <x:c r="D22" s="22"/>
      <x:c r="E22" s="24"/>
      <x:c r="F22" s="22"/>
      <x:c r="G22" s="22"/>
      <x:c r="H22" s="22"/>
      <x:c r="I22" s="22"/>
      <x:c r="J22" s="22"/>
      <x:c r="K22" s="22"/>
    </x:row>
    <x:row r="23" ht="44" customHeight="1">
      <x:c r="A23" s="19"/>
      <x:c r="B23" s="19"/>
      <x:c r="C23" s="19"/>
      <x:c r="D23" s="19"/>
      <x:c r="E23" s="26"/>
      <x:c r="F23" s="19"/>
      <x:c r="G23" s="19"/>
      <x:c r="H23" s="19"/>
      <x:c r="I23" s="19"/>
      <x:c r="J23" s="19"/>
      <x:c r="K23" s="19"/>
    </x:row>
    <x:row r="24" ht="44" customHeight="1">
      <x:c r="A24" s="22"/>
      <x:c r="B24" s="22"/>
      <x:c r="C24" s="22"/>
      <x:c r="D24" s="22"/>
      <x:c r="E24" s="24"/>
      <x:c r="F24" s="22"/>
      <x:c r="G24" s="22"/>
      <x:c r="H24" s="22"/>
      <x:c r="I24" s="22"/>
      <x:c r="J24" s="22"/>
      <x:c r="K24" s="22"/>
    </x:row>
    <x:row r="25" ht="44" customHeight="1">
      <x:c r="A25" s="19"/>
      <x:c r="B25" s="19"/>
      <x:c r="C25" s="19"/>
      <x:c r="D25" s="19"/>
      <x:c r="E25" s="26"/>
      <x:c r="F25" s="19"/>
      <x:c r="G25" s="19"/>
      <x:c r="H25" s="19"/>
      <x:c r="I25" s="19"/>
      <x:c r="J25" s="19"/>
      <x:c r="K25" s="19"/>
    </x:row>
    <x:row r="26" ht="44" customHeight="1">
      <x:c r="A26" s="22"/>
      <x:c r="B26" s="22"/>
      <x:c r="C26" s="22"/>
      <x:c r="D26" s="22"/>
      <x:c r="E26" s="24"/>
      <x:c r="F26" s="22"/>
      <x:c r="G26" s="22"/>
      <x:c r="H26" s="22"/>
      <x:c r="I26" s="22"/>
      <x:c r="J26" s="22"/>
      <x:c r="K26" s="22"/>
    </x:row>
    <x:row r="27" ht="44" customHeight="1">
      <x:c r="A27" s="19"/>
      <x:c r="B27" s="19"/>
      <x:c r="C27" s="19"/>
      <x:c r="D27" s="19"/>
      <x:c r="E27" s="26"/>
      <x:c r="F27" s="19"/>
      <x:c r="G27" s="19"/>
      <x:c r="H27" s="19"/>
      <x:c r="I27" s="19"/>
      <x:c r="J27" s="19"/>
      <x:c r="K27" s="19"/>
    </x:row>
    <x:row r="28" ht="44" customHeight="1">
      <x:c r="A28" s="22"/>
      <x:c r="B28" s="22"/>
      <x:c r="C28" s="22"/>
      <x:c r="D28" s="22"/>
      <x:c r="E28" s="24"/>
      <x:c r="F28" s="22"/>
      <x:c r="G28" s="22"/>
      <x:c r="H28" s="22"/>
      <x:c r="I28" s="22"/>
      <x:c r="J28" s="22"/>
      <x:c r="K28" s="22"/>
    </x:row>
    <x:row r="29" ht="44" customHeight="1">
      <x:c r="A29" s="19"/>
      <x:c r="B29" s="19"/>
      <x:c r="C29" s="19"/>
      <x:c r="D29" s="19"/>
      <x:c r="E29" s="26"/>
      <x:c r="F29" s="19"/>
      <x:c r="G29" s="19"/>
      <x:c r="H29" s="19"/>
      <x:c r="I29" s="19"/>
      <x:c r="J29" s="19"/>
      <x:c r="K29" s="19"/>
    </x:row>
    <x:row r="30" ht="44" customHeight="1">
      <x:c r="A30" s="22"/>
      <x:c r="B30" s="22"/>
      <x:c r="C30" s="22"/>
      <x:c r="D30" s="22"/>
      <x:c r="E30" s="24"/>
      <x:c r="F30" s="22"/>
      <x:c r="G30" s="22"/>
      <x:c r="H30" s="22"/>
      <x:c r="I30" s="22"/>
      <x:c r="J30" s="22"/>
      <x:c r="K30" s="22"/>
    </x:row>
    <x:row r="31" ht="44" customHeight="1">
      <x:c r="A31" s="19"/>
      <x:c r="B31" s="19"/>
      <x:c r="C31" s="19"/>
      <x:c r="D31" s="19"/>
      <x:c r="E31" s="26"/>
      <x:c r="F31" s="19"/>
      <x:c r="G31" s="19"/>
      <x:c r="H31" s="19"/>
      <x:c r="I31" s="19"/>
      <x:c r="J31" s="19"/>
      <x:c r="K31" s="19"/>
    </x:row>
    <x:row r="32" ht="44" customHeight="1">
      <x:c r="A32" s="22"/>
      <x:c r="B32" s="22"/>
      <x:c r="C32" s="22"/>
      <x:c r="D32" s="22"/>
      <x:c r="E32" s="24"/>
      <x:c r="F32" s="22"/>
      <x:c r="G32" s="22"/>
      <x:c r="H32" s="22"/>
      <x:c r="I32" s="22"/>
      <x:c r="J32" s="22"/>
      <x:c r="K32" s="22"/>
    </x:row>
    <x:row r="33" ht="44" customHeight="1">
      <x:c r="A33" s="19"/>
      <x:c r="B33" s="19"/>
      <x:c r="C33" s="19"/>
      <x:c r="D33" s="19"/>
      <x:c r="E33" s="26"/>
      <x:c r="F33" s="19"/>
      <x:c r="G33" s="19"/>
      <x:c r="H33" s="19"/>
      <x:c r="I33" s="19"/>
      <x:c r="J33" s="19"/>
      <x:c r="K33" s="19"/>
    </x:row>
    <x:row r="34" ht="44" customHeight="1">
      <x:c r="A34" s="22"/>
      <x:c r="B34" s="22"/>
      <x:c r="C34" s="22"/>
      <x:c r="D34" s="22"/>
      <x:c r="E34" s="24"/>
      <x:c r="F34" s="22"/>
      <x:c r="G34" s="22"/>
      <x:c r="H34" s="22"/>
      <x:c r="I34" s="22"/>
      <x:c r="J34" s="22"/>
      <x:c r="K34" s="22"/>
    </x:row>
    <x:row r="35" ht="44" customHeight="1">
      <x:c r="A35" s="19"/>
      <x:c r="B35" s="19"/>
      <x:c r="C35" s="19"/>
      <x:c r="D35" s="19"/>
      <x:c r="E35" s="26"/>
      <x:c r="F35" s="19"/>
      <x:c r="G35" s="19"/>
      <x:c r="H35" s="19"/>
      <x:c r="I35" s="19"/>
      <x:c r="J35" s="19"/>
      <x:c r="K35" s="19"/>
    </x:row>
  </x:sheetData>
  <x:mergeCells>
    <x:mergeCell ref="A1:K1"/>
    <x:mergeCell ref="A2:K3"/>
  </x:mergeCells>
  <x:dataValidations count="2">
    <x:dataValidation type="list" sqref="C6:C35">
      <x:formula1>"G1,G2,G3,G4,G5"</x:formula1>
    </x:dataValidation>
    <x:dataValidation type="list" sqref="I6:I35">
      <x:formula1>"ยังไม่ตรวจ,ครบแต่รอยืนยัน,ตรวจยืนยันแล้ว,ขาด/ต้องแก้,ไม่เกี่ยว - มีเหตุผล"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48" hidden="0" customWidth="1"/>
    <x:col min="4" max="4" width="20" hidden="0" customWidth="1"/>
    <x:col min="5" max="5" width="26" hidden="0" customWidth="1"/>
    <x:col min="6" max="6" width="36" hidden="0" customWidth="1"/>
    <x:col min="7" max="7" width="24" hidden="0" customWidth="1"/>
    <x:col min="8" max="8" width="42" hidden="0" customWidth="1"/>
  </x:cols>
  <x:sheetData>
    <x:row r="1" ht="32" customHeight="1">
      <x:c r="A1" s="3" t="str">
        <x:v>Gate Checklist | ชุดตั้งต้นสำหรับใช้ต่อทีม</x:v>
      </x:c>
      <x:c r="B1" s="3"/>
      <x:c r="C1" s="3"/>
      <x:c r="D1" s="3"/>
      <x:c r="E1" s="3"/>
      <x:c r="F1" s="3"/>
      <x:c r="G1" s="3"/>
      <x:c r="H1" s="3"/>
    </x:row>
    <x:row r="2" ht="24" customHeight="1">
      <x:c r="A2" s="8" t="str">
        <x:v>คัดลอกชุดนี้ไปใช้กับทีม/ด่านที่เกี่ยวข้อง • ทุกคำว่าไม่เกี่ยวต้องมีเหตุผล • Earth ตรวจความครบ; ผู้มีอำนาจและผู้เชี่ยวชาญตามเรื่องยืนยันการผ่าน</x:v>
      </x:c>
      <x:c r="B2" s="8"/>
      <x:c r="C2" s="8"/>
      <x:c r="D2" s="8"/>
      <x:c r="E2" s="8"/>
      <x:c r="F2" s="8"/>
      <x:c r="G2" s="8"/>
      <x:c r="H2" s="8"/>
    </x:row>
    <x:row r="3" ht="24" customHeight="1">
      <x:c r="A3" s="8"/>
      <x:c r="B3" s="8"/>
      <x:c r="C3" s="8"/>
      <x:c r="D3" s="8"/>
      <x:c r="E3" s="8"/>
      <x:c r="F3" s="8"/>
      <x:c r="G3" s="8"/>
      <x:c r="H3" s="8"/>
    </x:row>
    <x:row r="5" ht="32" customHeight="1">
      <x:c r="A5" s="14" t="str">
        <x:v>Team ID</x:v>
      </x:c>
      <x:c r="B5" s="14" t="str">
        <x:v>Gate</x:v>
      </x:c>
      <x:c r="C5" s="14" t="str">
        <x:v>รายการตรวจ</x:v>
      </x:c>
      <x:c r="D5" s="14" t="str">
        <x:v>ประเภท</x:v>
      </x:c>
      <x:c r="E5" s="14" t="str">
        <x:v>สถานะ</x:v>
      </x:c>
      <x:c r="F5" s="14" t="str">
        <x:v>Evidence ID / ลิงก์</x:v>
      </x:c>
      <x:c r="G5" s="14" t="str">
        <x:v>ผู้ยืนยัน</x:v>
      </x:c>
      <x:c r="H5" s="14" t="str">
        <x:v>ประเด็นค้าง / เงื่อนไข</x:v>
      </x:c>
    </x:row>
    <x:row r="6" ht="44" customHeight="1">
      <x:c r="A6" s="22"/>
      <x:c r="B6" s="22" t="str">
        <x:v>G1</x:v>
      </x:c>
      <x:c r="C6" s="22" t="str">
        <x:v>โจทย์และ Business Owner ชัด</x:v>
      </x:c>
      <x:c r="D6" s="22" t="str">
        <x:v>จำเป็น</x:v>
      </x:c>
      <x:c r="E6" s="22" t="str">
        <x:v>ยังไม่ตรวจ</x:v>
      </x:c>
      <x:c r="F6" s="22"/>
      <x:c r="G6" s="22"/>
      <x:c r="H6" s="22"/>
    </x:row>
    <x:row r="7" ht="44" customHeight="1">
      <x:c r="A7" s="19"/>
      <x:c r="B7" s="19" t="str">
        <x:v>G1</x:v>
      </x:c>
      <x:c r="C7" s="19" t="str">
        <x:v>ค่าฐาน/นิยามและแหล่งข้อมูล</x:v>
      </x:c>
      <x:c r="D7" s="19" t="str">
        <x:v>จำเป็น</x:v>
      </x:c>
      <x:c r="E7" s="19" t="str">
        <x:v>ยังไม่ตรวจ</x:v>
      </x:c>
      <x:c r="F7" s="19"/>
      <x:c r="G7" s="19"/>
      <x:c r="H7" s="19"/>
    </x:row>
    <x:row r="8" ht="44" customHeight="1">
      <x:c r="A8" s="22"/>
      <x:c r="B8" s="22" t="str">
        <x:v>G1</x:v>
      </x:c>
      <x:c r="C8" s="22" t="str">
        <x:v>สิทธิ์ข้อมูลและเครื่องมือได้รับอนุญาต</x:v>
      </x:c>
      <x:c r="D8" s="22" t="str">
        <x:v>ห้ามข้าม</x:v>
      </x:c>
      <x:c r="E8" s="22" t="str">
        <x:v>ยังไม่ตรวจ</x:v>
      </x:c>
      <x:c r="F8" s="22"/>
      <x:c r="G8" s="22"/>
      <x:c r="H8" s="22"/>
    </x:row>
    <x:row r="9" ht="44" customHeight="1">
      <x:c r="A9" s="19"/>
      <x:c r="B9" s="19" t="str">
        <x:v>G1</x:v>
      </x:c>
      <x:c r="C9" s="19" t="str">
        <x:v>เทียบทางเลือกไม่ใช้ AI + สมมติฐานทดสอบ</x:v>
      </x:c>
      <x:c r="D9" s="19" t="str">
        <x:v>จำเป็น</x:v>
      </x:c>
      <x:c r="E9" s="19" t="str">
        <x:v>ยังไม่ตรวจ</x:v>
      </x:c>
      <x:c r="F9" s="19"/>
      <x:c r="G9" s="19"/>
      <x:c r="H9" s="19"/>
    </x:row>
    <x:row r="10" ht="44" customHeight="1">
      <x:c r="A10" s="22"/>
      <x:c r="B10" s="22" t="str">
        <x:v>G2</x:v>
      </x:c>
      <x:c r="C10" s="22" t="str">
        <x:v>ต้นแบบมีผลทดสอบ/กรณีผิดพลาด</x:v>
      </x:c>
      <x:c r="D10" s="22" t="str">
        <x:v>จำเป็น</x:v>
      </x:c>
      <x:c r="E10" s="22" t="str">
        <x:v>ยังไม่ตรวจ</x:v>
      </x:c>
      <x:c r="F10" s="22"/>
      <x:c r="G10" s="22"/>
      <x:c r="H10" s="22"/>
    </x:row>
    <x:row r="11" ht="44" customHeight="1">
      <x:c r="A11" s="19"/>
      <x:c r="B11" s="19" t="str">
        <x:v>G2</x:v>
      </x:c>
      <x:c r="C11" s="19" t="str">
        <x:v>ผู้ใช้ ขอบเขต และวิธีเทียบผล</x:v>
      </x:c>
      <x:c r="D11" s="19" t="str">
        <x:v>จำเป็น</x:v>
      </x:c>
      <x:c r="E11" s="19" t="str">
        <x:v>ยังไม่ตรวจ</x:v>
      </x:c>
      <x:c r="F11" s="19"/>
      <x:c r="G11" s="19"/>
      <x:c r="H11" s="19"/>
    </x:row>
    <x:row r="12" ht="44" customHeight="1">
      <x:c r="A12" s="22"/>
      <x:c r="B12" s="22" t="str">
        <x:v>G2</x:v>
      </x:c>
      <x:c r="C12" s="22" t="str">
        <x:v>คนอนุมัติจุดสำคัญ + เงื่อนไขหยุด</x:v>
      </x:c>
      <x:c r="D12" s="22" t="str">
        <x:v>ห้ามข้าม</x:v>
      </x:c>
      <x:c r="E12" s="22" t="str">
        <x:v>ยังไม่ตรวจ</x:v>
      </x:c>
      <x:c r="F12" s="22"/>
      <x:c r="G12" s="22"/>
      <x:c r="H12" s="22"/>
    </x:row>
    <x:row r="13" ht="44" customHeight="1">
      <x:c r="A13" s="19"/>
      <x:c r="B13" s="19" t="str">
        <x:v>G2</x:v>
      </x:c>
      <x:c r="C13" s="19" t="str">
        <x:v>ข้อมูล/ความเสี่ยงผ่านตามบริบท</x:v>
      </x:c>
      <x:c r="D13" s="19" t="str">
        <x:v>ห้ามข้าม</x:v>
      </x:c>
      <x:c r="E13" s="19" t="str">
        <x:v>ยังไม่ตรวจ</x:v>
      </x:c>
      <x:c r="F13" s="19"/>
      <x:c r="G13" s="19"/>
      <x:c r="H13" s="19"/>
    </x:row>
    <x:row r="14" ht="44" customHeight="1">
      <x:c r="A14" s="22"/>
      <x:c r="B14" s="22" t="str">
        <x:v>G3</x:v>
      </x:c>
      <x:c r="C14" s="22" t="str">
        <x:v>ผลจริง+ตัวเทียบ+ข้อจำกัด+ต้นทุน</x:v>
      </x:c>
      <x:c r="D14" s="22" t="str">
        <x:v>จำเป็น</x:v>
      </x:c>
      <x:c r="E14" s="22" t="str">
        <x:v>ยังไม่ตรวจ</x:v>
      </x:c>
      <x:c r="F14" s="22"/>
      <x:c r="G14" s="22"/>
      <x:c r="H14" s="22"/>
    </x:row>
    <x:row r="15" ht="44" customHeight="1">
      <x:c r="A15" s="19"/>
      <x:c r="B15" s="19" t="str">
        <x:v>G3</x:v>
      </x:c>
      <x:c r="C15" s="19" t="str">
        <x:v>ผู้ใช้ยืนยัน + ทีมสอนกลับ/ทำซ้ำได้</x:v>
      </x:c>
      <x:c r="D15" s="19" t="str">
        <x:v>จำเป็น</x:v>
      </x:c>
      <x:c r="E15" s="19" t="str">
        <x:v>ยังไม่ตรวจ</x:v>
      </x:c>
      <x:c r="F15" s="19"/>
      <x:c r="G15" s="19"/>
      <x:c r="H15" s="19"/>
    </x:row>
    <x:row r="16" ht="44" customHeight="1">
      <x:c r="A16" s="22"/>
      <x:c r="B16" s="22" t="str">
        <x:v>G3</x:v>
      </x:c>
      <x:c r="C16" s="22" t="str">
        <x:v>IT/Data ยืนยันรับช่วงได้และมีแผน</x:v>
      </x:c>
      <x:c r="D16" s="22" t="str">
        <x:v>จำเป็น</x:v>
      </x:c>
      <x:c r="E16" s="22" t="str">
        <x:v>ยังไม่ตรวจ</x:v>
      </x:c>
      <x:c r="F16" s="22"/>
      <x:c r="G16" s="22"/>
      <x:c r="H16" s="22"/>
    </x:row>
    <x:row r="17" ht="44" customHeight="1">
      <x:c r="A17" s="19"/>
      <x:c r="B17" s="19" t="str">
        <x:v>G3</x:v>
      </x:c>
      <x:c r="C17" s="19" t="str">
        <x:v>ความเสี่ยง/สิทธิ์ผ่านเกณฑ์ของขั้นต่อไป</x:v>
      </x:c>
      <x:c r="D17" s="19" t="str">
        <x:v>ห้ามข้าม</x:v>
      </x:c>
      <x:c r="E17" s="19" t="str">
        <x:v>ยังไม่ตรวจ</x:v>
      </x:c>
      <x:c r="F17" s="19"/>
      <x:c r="G17" s="19"/>
      <x:c r="H17" s="19"/>
    </x:row>
    <x:row r="18" ht="44" customHeight="1">
      <x:c r="A18" s="22"/>
      <x:c r="B18" s="22" t="str">
        <x:v>G4</x:v>
      </x:c>
      <x:c r="C18" s="22" t="str">
        <x:v>การรับมอบ/ทดสอบระบบจริง</x:v>
      </x:c>
      <x:c r="D18" s="22" t="str">
        <x:v>จำเป็น</x:v>
      </x:c>
      <x:c r="E18" s="22" t="str">
        <x:v>ยังไม่ตรวจ</x:v>
      </x:c>
      <x:c r="F18" s="22"/>
      <x:c r="G18" s="22"/>
      <x:c r="H18" s="22"/>
    </x:row>
    <x:row r="19" ht="44" customHeight="1">
      <x:c r="A19" s="19"/>
      <x:c r="B19" s="19" t="str">
        <x:v>G4</x:v>
      </x:c>
      <x:c r="C19" s="19" t="str">
        <x:v>สิทธิ์และความปลอดภัยตามงาน</x:v>
      </x:c>
      <x:c r="D19" s="19" t="str">
        <x:v>ห้ามข้าม</x:v>
      </x:c>
      <x:c r="E19" s="19" t="str">
        <x:v>ยังไม่ตรวจ</x:v>
      </x:c>
      <x:c r="F19" s="19"/>
      <x:c r="G19" s="19"/>
      <x:c r="H19" s="19"/>
    </x:row>
    <x:row r="20" ht="44" customHeight="1">
      <x:c r="A20" s="22"/>
      <x:c r="B20" s="22" t="str">
        <x:v>G4</x:v>
      </x:c>
      <x:c r="C20" s="22" t="str">
        <x:v>ผู้ดูแล คู่มือ และวิธีหยุด/ย้อนกลับ</x:v>
      </x:c>
      <x:c r="D20" s="22" t="str">
        <x:v>ห้ามข้าม</x:v>
      </x:c>
      <x:c r="E20" s="22" t="str">
        <x:v>ยังไม่ตรวจ</x:v>
      </x:c>
      <x:c r="F20" s="22"/>
      <x:c r="G20" s="22"/>
      <x:c r="H20" s="22"/>
    </x:row>
    <x:row r="21" ht="44" customHeight="1">
      <x:c r="A21" s="19"/>
      <x:c r="B21" s="19" t="str">
        <x:v>G4</x:v>
      </x:c>
      <x:c r="C21" s="19" t="str">
        <x:v>การติดตามผล/ต้นทุนและงบดูแล</x:v>
      </x:c>
      <x:c r="D21" s="19" t="str">
        <x:v>จำเป็น</x:v>
      </x:c>
      <x:c r="E21" s="19" t="str">
        <x:v>ยังไม่ตรวจ</x:v>
      </x:c>
      <x:c r="F21" s="19"/>
      <x:c r="G21" s="19"/>
      <x:c r="H21" s="19"/>
    </x:row>
    <x:row r="22" ht="44" customHeight="1">
      <x:c r="A22" s="22"/>
      <x:c r="B22" s="22" t="str">
        <x:v>G5</x:v>
      </x:c>
      <x:c r="C22" s="22" t="str">
        <x:v>ผลต่อเนื่องและความคุ้มค่าใช้ซ้ำ</x:v>
      </x:c>
      <x:c r="D22" s="22" t="str">
        <x:v>จำเป็น</x:v>
      </x:c>
      <x:c r="E22" s="22" t="str">
        <x:v>ยังไม่ตรวจ</x:v>
      </x:c>
      <x:c r="F22" s="22"/>
      <x:c r="G22" s="22"/>
      <x:c r="H22" s="22"/>
    </x:row>
    <x:row r="23" ht="44" customHeight="1">
      <x:c r="A23" s="19"/>
      <x:c r="B23" s="19" t="str">
        <x:v>G5</x:v>
      </x:c>
      <x:c r="C23" s="19" t="str">
        <x:v>เจ้าภาพและข้อมูลปลายทางพร้อม</x:v>
      </x:c>
      <x:c r="D23" s="19" t="str">
        <x:v>จำเป็น</x:v>
      </x:c>
      <x:c r="E23" s="19" t="str">
        <x:v>ยังไม่ตรวจ</x:v>
      </x:c>
      <x:c r="F23" s="19"/>
      <x:c r="G23" s="19"/>
      <x:c r="H23" s="19"/>
    </x:row>
    <x:row r="24" ht="44" customHeight="1">
      <x:c r="A24" s="22"/>
      <x:c r="B24" s="22" t="str">
        <x:v>G5</x:v>
      </x:c>
      <x:c r="C24" s="22" t="str">
        <x:v>ทดสอบบริบท/ความเสี่ยงปลายทาง</x:v>
      </x:c>
      <x:c r="D24" s="22" t="str">
        <x:v>ห้ามข้าม</x:v>
      </x:c>
      <x:c r="E24" s="22" t="str">
        <x:v>ยังไม่ตรวจ</x:v>
      </x:c>
      <x:c r="F24" s="22"/>
      <x:c r="G24" s="22"/>
      <x:c r="H24" s="22"/>
    </x:row>
    <x:row r="25" ht="44" customHeight="1">
      <x:c r="A25" s="19"/>
      <x:c r="B25" s="19" t="str">
        <x:v>G5</x:v>
      </x:c>
      <x:c r="C25" s="19" t="str">
        <x:v>ต้นทุนขยายและขอบเขตที่อนุมัติ</x:v>
      </x:c>
      <x:c r="D25" s="19" t="str">
        <x:v>จำเป็น</x:v>
      </x:c>
      <x:c r="E25" s="19" t="str">
        <x:v>ยังไม่ตรวจ</x:v>
      </x:c>
      <x:c r="F25" s="19"/>
      <x:c r="G25" s="19"/>
      <x:c r="H25" s="19"/>
    </x:row>
  </x:sheetData>
  <x:mergeCells>
    <x:mergeCell ref="A1:H1"/>
    <x:mergeCell ref="A2:H3"/>
  </x:mergeCells>
  <x:conditionalFormatting sqref="E6:E25">
    <x:cfRule type="expression" dxfId="1" priority="1">
      <x:formula>E6="ไม่ผ่าน"</x:formula>
    </x:cfRule>
  </x:conditionalFormatting>
  <x:dataValidations count="1">
    <x:dataValidation type="list" sqref="E6:E25">
      <x:formula1>"ยังไม่ตรวจ,ผ่าน,ไม่ผ่าน,ไม่เกี่ยว - มีเหตุผล"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25" hidden="0" customWidth="1"/>
    <x:col min="6" max="6" width="18" hidden="0" customWidth="1"/>
    <x:col min="7" max="7" width="25" hidden="0" customWidth="1"/>
    <x:col min="8" max="8" width="18" hidden="0" customWidth="1"/>
    <x:col min="9" max="9" width="22" hidden="0" customWidth="1"/>
    <x:col min="10" max="10" width="18" hidden="0" customWidth="1"/>
    <x:col min="11" max="11" width="36" hidden="0" customWidth="1"/>
    <x:col min="12" max="12" width="38" hidden="0" customWidth="1"/>
    <x:col min="13" max="13" width="42" hidden="0" customWidth="1"/>
    <x:col min="14" max="14" width="24" hidden="0" customWidth="1"/>
  </x:cols>
  <x:sheetData>
    <x:row r="1" ht="32" customHeight="1">
      <x:c r="A1" s="3" t="str">
        <x:v>ค่าฐาน ผลทดลอง และข้อจำกัด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8" t="str">
        <x:v>ชื่อ KPI 5 แถวแรกเป็นตัวอย่าง ไม่ใช่ผล PCC • ค่าผลต่างบวกหมายถึงดีขึ้นตามทิศทางที่เลือก • ตัวเลขจริงต้องมีช่วงเวลา แหล่ง และผู้ยืนยัน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32" customHeight="1">
      <x:c r="A5" s="14" t="str">
        <x:v>Team ID</x:v>
      </x:c>
      <x:c r="B5" s="14" t="str">
        <x:v>KPI</x:v>
      </x:c>
      <x:c r="C5" s="14" t="str">
        <x:v>หน่วย</x:v>
      </x:c>
      <x:c r="D5" s="14" t="str">
        <x:v>ทิศทางที่ดี</x:v>
      </x:c>
      <x:c r="E5" s="14" t="str">
        <x:v>ช่วงค่าฐาน</x:v>
      </x:c>
      <x:c r="F5" s="14" t="str">
        <x:v>ค่าฐาน</x:v>
      </x:c>
      <x:c r="G5" s="14" t="str">
        <x:v>ช่วงหลังทดลอง</x:v>
      </x:c>
      <x:c r="H5" s="14" t="str">
        <x:v>ผลหลังทดลอง</x:v>
      </x:c>
      <x:c r="I5" s="14" t="str">
        <x:v>ผลต่างเชิงดีขึ้น</x:v>
      </x:c>
      <x:c r="J5" s="14" t="str">
        <x:v>เปลี่ยน %</x:v>
      </x:c>
      <x:c r="K5" s="14" t="str">
        <x:v>ตัวเทียบ/กลุ่ม</x:v>
      </x:c>
      <x:c r="L5" s="14" t="str">
        <x:v>แหล่งหลักฐาน</x:v>
      </x:c>
      <x:c r="M5" s="14" t="str">
        <x:v>ข้อจำกัด/นิยาม</x:v>
      </x:c>
      <x:c r="N5" s="14" t="str">
        <x:v>ผู้ยืนยัน</x:v>
      </x:c>
    </x:row>
    <x:row r="6" ht="44" customHeight="1">
      <x:c r="A6" s="22"/>
      <x:c r="B6" s="22" t="str">
        <x:v>เวลาทำงานสุทธิ</x:v>
      </x:c>
      <x:c r="C6" s="22" t="str">
        <x:v>นาที/งาน</x:v>
      </x:c>
      <x:c r="D6" s="22" t="str">
        <x:v>ลดลง</x:v>
      </x:c>
      <x:c r="E6" s="22"/>
      <x:c r="F6" s="30"/>
      <x:c r="G6" s="30"/>
      <x:c r="H6" s="30"/>
      <x:c r="I6" s="38" t="str">
        <x:f>IF(OR(F6="",H6="",D6=""),"",IF(D6="ลดลง",F6-H6,H6-F6))</x:f>
      </x:c>
      <x:c r="J6" s="39" t="str">
        <x:f>IF(OR(F6="",H6="",D6="",F6=0),"",I6/ABS(F6))</x:f>
      </x:c>
      <x:c r="K6" s="22"/>
      <x:c r="L6" s="22"/>
      <x:c r="M6" s="22" t="str">
        <x:v>รวมตรวจและแก้ AI</x:v>
      </x:c>
      <x:c r="N6" s="22"/>
    </x:row>
    <x:row r="7" ht="44" customHeight="1">
      <x:c r="A7" s="19"/>
      <x:c r="B7" s="19" t="str">
        <x:v>รายการตกหล่น</x:v>
      </x:c>
      <x:c r="C7" s="19" t="str">
        <x:v>รายการ</x:v>
      </x:c>
      <x:c r="D7" s="19" t="str">
        <x:v>ลดลง</x:v>
      </x:c>
      <x:c r="E7" s="19"/>
      <x:c r="F7" s="31"/>
      <x:c r="G7" s="31"/>
      <x:c r="H7" s="31"/>
      <x:c r="I7" s="38" t="str">
        <x:f>IF(OR(F7="",H7="",D7=""),"",IF(D7="ลดลง",F7-H7,H7-F7))</x:f>
      </x:c>
      <x:c r="J7" s="39" t="str">
        <x:f>IF(OR(F7="",H7="",D7="",F7=0),"",I7/ABS(F7))</x:f>
      </x:c>
      <x:c r="K7" s="19"/>
      <x:c r="L7" s="19"/>
      <x:c r="M7" s="19" t="str">
        <x:v>นิยามงานเสร็จเหมือนกัน</x:v>
      </x:c>
      <x:c r="N7" s="19"/>
    </x:row>
    <x:row r="8" ht="44" customHeight="1">
      <x:c r="A8" s="22"/>
      <x:c r="B8" s="22" t="str">
        <x:v>ชำระตรงเวลา</x:v>
      </x:c>
      <x:c r="C8" s="22" t="str">
        <x:v>สัดส่วน</x:v>
      </x:c>
      <x:c r="D8" s="22" t="str">
        <x:v>เพิ่มขึ้น</x:v>
      </x:c>
      <x:c r="E8" s="22"/>
      <x:c r="F8" s="30"/>
      <x:c r="G8" s="30"/>
      <x:c r="H8" s="30"/>
      <x:c r="I8" s="38" t="str">
        <x:f>IF(OR(F8="",H8="",D8=""),"",IF(D8="ลดลง",F8-H8,H8-F8))</x:f>
      </x:c>
      <x:c r="J8" s="39" t="str">
        <x:f>IF(OR(F8="",H8="",D8="",F8=0),"",I8/ABS(F8))</x:f>
      </x:c>
      <x:c r="K8" s="22"/>
      <x:c r="L8" s="22"/>
      <x:c r="M8" s="22" t="str">
        <x:v>ระบุจำนวนใบหรือมูลค่า</x:v>
      </x:c>
      <x:c r="N8" s="22"/>
    </x:row>
    <x:row r="9" ht="44" customHeight="1">
      <x:c r="A9" s="19"/>
      <x:c r="B9" s="19" t="str">
        <x:v>DSO</x:v>
      </x:c>
      <x:c r="C9" s="19" t="str">
        <x:v>วัน</x:v>
      </x:c>
      <x:c r="D9" s="19" t="str">
        <x:v>ลดลง</x:v>
      </x:c>
      <x:c r="E9" s="19"/>
      <x:c r="F9" s="31"/>
      <x:c r="G9" s="31"/>
      <x:c r="H9" s="31"/>
      <x:c r="I9" s="38" t="str">
        <x:f>IF(OR(F9="",H9="",D9=""),"",IF(D9="ลดลง",F9-H9,H9-F9))</x:f>
      </x:c>
      <x:c r="J9" s="39" t="str">
        <x:f>IF(OR(F9="",H9="",D9="",F9=0),"",I9/ABS(F9))</x:f>
      </x:c>
      <x:c r="K9" s="19"/>
      <x:c r="L9" s="19"/>
      <x:c r="M9" s="19" t="str">
        <x:v>Finance ยืนยันฐาน/สูตร</x:v>
      </x:c>
      <x:c r="N9" s="19"/>
    </x:row>
    <x:row r="10" ht="44" customHeight="1">
      <x:c r="A10" s="22"/>
      <x:c r="B10" s="22" t="str">
        <x:v>สมาชิกทำซ้ำเองได้</x:v>
      </x:c>
      <x:c r="C10" s="22" t="str">
        <x:v>คน</x:v>
      </x:c>
      <x:c r="D10" s="22" t="str">
        <x:v>เพิ่มขึ้น</x:v>
      </x:c>
      <x:c r="E10" s="22"/>
      <x:c r="F10" s="30"/>
      <x:c r="G10" s="30"/>
      <x:c r="H10" s="30"/>
      <x:c r="I10" s="38" t="str">
        <x:f>IF(OR(F10="",H10="",D10=""),"",IF(D10="ลดลง",F10-H10,H10-F10))</x:f>
      </x:c>
      <x:c r="J10" s="39" t="str">
        <x:f>IF(OR(F10="",H10="",D10="",F10=0),"",I10/ABS(F10))</x:f>
      </x:c>
      <x:c r="K10" s="22"/>
      <x:c r="L10" s="22"/>
      <x:c r="M10" s="22" t="str">
        <x:v>ทดสอบด้วยเคสใหม่</x:v>
      </x:c>
      <x:c r="N10" s="22"/>
    </x:row>
    <x:row r="11" ht="44" customHeight="1">
      <x:c r="A11" s="19"/>
      <x:c r="B11" s="19"/>
      <x:c r="C11" s="19"/>
      <x:c r="D11" s="19"/>
      <x:c r="E11" s="19"/>
      <x:c r="F11" s="31"/>
      <x:c r="G11" s="31"/>
      <x:c r="H11" s="31"/>
      <x:c r="I11" s="38" t="str">
        <x:f>IF(OR(F11="",H11="",D11=""),"",IF(D11="ลดลง",F11-H11,H11-F11))</x:f>
      </x:c>
      <x:c r="J11" s="39" t="str">
        <x:f>IF(OR(F11="",H11="",D11="",F11=0),"",I11/ABS(F11))</x:f>
      </x:c>
      <x:c r="K11" s="19"/>
      <x:c r="L11" s="19"/>
      <x:c r="M11" s="19"/>
      <x:c r="N11" s="19"/>
    </x:row>
    <x:row r="12" ht="44" customHeight="1">
      <x:c r="A12" s="22"/>
      <x:c r="B12" s="22"/>
      <x:c r="C12" s="22"/>
      <x:c r="D12" s="22"/>
      <x:c r="E12" s="22"/>
      <x:c r="F12" s="30"/>
      <x:c r="G12" s="30"/>
      <x:c r="H12" s="30"/>
      <x:c r="I12" s="38" t="str">
        <x:f>IF(OR(F12="",H12="",D12=""),"",IF(D12="ลดลง",F12-H12,H12-F12))</x:f>
      </x:c>
      <x:c r="J12" s="39" t="str">
        <x:f>IF(OR(F12="",H12="",D12="",F12=0),"",I12/ABS(F12))</x:f>
      </x:c>
      <x:c r="K12" s="22"/>
      <x:c r="L12" s="22"/>
      <x:c r="M12" s="22"/>
      <x:c r="N12" s="22"/>
    </x:row>
    <x:row r="13" ht="44" customHeight="1">
      <x:c r="A13" s="19"/>
      <x:c r="B13" s="19"/>
      <x:c r="C13" s="19"/>
      <x:c r="D13" s="19"/>
      <x:c r="E13" s="19"/>
      <x:c r="F13" s="31"/>
      <x:c r="G13" s="31"/>
      <x:c r="H13" s="31"/>
      <x:c r="I13" s="38" t="str">
        <x:f>IF(OR(F13="",H13="",D13=""),"",IF(D13="ลดลง",F13-H13,H13-F13))</x:f>
      </x:c>
      <x:c r="J13" s="39" t="str">
        <x:f>IF(OR(F13="",H13="",D13="",F13=0),"",I13/ABS(F13))</x:f>
      </x:c>
      <x:c r="K13" s="19"/>
      <x:c r="L13" s="19"/>
      <x:c r="M13" s="19"/>
      <x:c r="N13" s="19"/>
    </x:row>
    <x:row r="14" ht="44" customHeight="1">
      <x:c r="A14" s="22"/>
      <x:c r="B14" s="22"/>
      <x:c r="C14" s="22"/>
      <x:c r="D14" s="22"/>
      <x:c r="E14" s="22"/>
      <x:c r="F14" s="30"/>
      <x:c r="G14" s="30"/>
      <x:c r="H14" s="30"/>
      <x:c r="I14" s="38" t="str">
        <x:f>IF(OR(F14="",H14="",D14=""),"",IF(D14="ลดลง",F14-H14,H14-F14))</x:f>
      </x:c>
      <x:c r="J14" s="39" t="str">
        <x:f>IF(OR(F14="",H14="",D14="",F14=0),"",I14/ABS(F14))</x:f>
      </x:c>
      <x:c r="K14" s="22"/>
      <x:c r="L14" s="22"/>
      <x:c r="M14" s="22"/>
      <x:c r="N14" s="22"/>
    </x:row>
    <x:row r="15" ht="44" customHeight="1">
      <x:c r="A15" s="19"/>
      <x:c r="B15" s="19"/>
      <x:c r="C15" s="19"/>
      <x:c r="D15" s="19"/>
      <x:c r="E15" s="19"/>
      <x:c r="F15" s="31"/>
      <x:c r="G15" s="31"/>
      <x:c r="H15" s="31"/>
      <x:c r="I15" s="38" t="str">
        <x:f>IF(OR(F15="",H15="",D15=""),"",IF(D15="ลดลง",F15-H15,H15-F15))</x:f>
      </x:c>
      <x:c r="J15" s="39" t="str">
        <x:f>IF(OR(F15="",H15="",D15="",F15=0),"",I15/ABS(F15))</x:f>
      </x:c>
      <x:c r="K15" s="19"/>
      <x:c r="L15" s="19"/>
      <x:c r="M15" s="19"/>
      <x:c r="N15" s="19"/>
    </x:row>
    <x:row r="16" ht="44" customHeight="1">
      <x:c r="A16" s="22"/>
      <x:c r="B16" s="22"/>
      <x:c r="C16" s="22"/>
      <x:c r="D16" s="22"/>
      <x:c r="E16" s="22"/>
      <x:c r="F16" s="30"/>
      <x:c r="G16" s="30"/>
      <x:c r="H16" s="30"/>
      <x:c r="I16" s="38" t="str">
        <x:f>IF(OR(F16="",H16="",D16=""),"",IF(D16="ลดลง",F16-H16,H16-F16))</x:f>
      </x:c>
      <x:c r="J16" s="39" t="str">
        <x:f>IF(OR(F16="",H16="",D16="",F16=0),"",I16/ABS(F16))</x:f>
      </x:c>
      <x:c r="K16" s="22"/>
      <x:c r="L16" s="22"/>
      <x:c r="M16" s="22"/>
      <x:c r="N16" s="22"/>
    </x:row>
    <x:row r="17" ht="44" customHeight="1">
      <x:c r="A17" s="19"/>
      <x:c r="B17" s="19"/>
      <x:c r="C17" s="19"/>
      <x:c r="D17" s="19"/>
      <x:c r="E17" s="19"/>
      <x:c r="F17" s="31"/>
      <x:c r="G17" s="31"/>
      <x:c r="H17" s="31"/>
      <x:c r="I17" s="38" t="str">
        <x:f>IF(OR(F17="",H17="",D17=""),"",IF(D17="ลดลง",F17-H17,H17-F17))</x:f>
      </x:c>
      <x:c r="J17" s="39" t="str">
        <x:f>IF(OR(F17="",H17="",D17="",F17=0),"",I17/ABS(F17))</x:f>
      </x:c>
      <x:c r="K17" s="19"/>
      <x:c r="L17" s="19"/>
      <x:c r="M17" s="19"/>
      <x:c r="N17" s="19"/>
    </x:row>
    <x:row r="18" ht="44" customHeight="1">
      <x:c r="A18" s="22"/>
      <x:c r="B18" s="22"/>
      <x:c r="C18" s="22"/>
      <x:c r="D18" s="22"/>
      <x:c r="E18" s="22"/>
      <x:c r="F18" s="30"/>
      <x:c r="G18" s="30"/>
      <x:c r="H18" s="30"/>
      <x:c r="I18" s="38" t="str">
        <x:f>IF(OR(F18="",H18="",D18=""),"",IF(D18="ลดลง",F18-H18,H18-F18))</x:f>
      </x:c>
      <x:c r="J18" s="39" t="str">
        <x:f>IF(OR(F18="",H18="",D18="",F18=0),"",I18/ABS(F18))</x:f>
      </x:c>
      <x:c r="K18" s="22"/>
      <x:c r="L18" s="22"/>
      <x:c r="M18" s="22"/>
      <x:c r="N18" s="22"/>
    </x:row>
    <x:row r="19" ht="44" customHeight="1">
      <x:c r="A19" s="19"/>
      <x:c r="B19" s="19"/>
      <x:c r="C19" s="19"/>
      <x:c r="D19" s="19"/>
      <x:c r="E19" s="19"/>
      <x:c r="F19" s="31"/>
      <x:c r="G19" s="31"/>
      <x:c r="H19" s="31"/>
      <x:c r="I19" s="38" t="str">
        <x:f>IF(OR(F19="",H19="",D19=""),"",IF(D19="ลดลง",F19-H19,H19-F19))</x:f>
      </x:c>
      <x:c r="J19" s="39" t="str">
        <x:f>IF(OR(F19="",H19="",D19="",F19=0),"",I19/ABS(F19))</x:f>
      </x:c>
      <x:c r="K19" s="19"/>
      <x:c r="L19" s="19"/>
      <x:c r="M19" s="19"/>
      <x:c r="N19" s="19"/>
    </x:row>
    <x:row r="20" ht="44" customHeight="1">
      <x:c r="A20" s="22"/>
      <x:c r="B20" s="22"/>
      <x:c r="C20" s="22"/>
      <x:c r="D20" s="22"/>
      <x:c r="E20" s="22"/>
      <x:c r="F20" s="30"/>
      <x:c r="G20" s="30"/>
      <x:c r="H20" s="30"/>
      <x:c r="I20" s="38" t="str">
        <x:f>IF(OR(F20="",H20="",D20=""),"",IF(D20="ลดลง",F20-H20,H20-F20))</x:f>
      </x:c>
      <x:c r="J20" s="39" t="str">
        <x:f>IF(OR(F20="",H20="",D20="",F20=0),"",I20/ABS(F20))</x:f>
      </x:c>
      <x:c r="K20" s="22"/>
      <x:c r="L20" s="22"/>
      <x:c r="M20" s="22"/>
      <x:c r="N20" s="22"/>
    </x:row>
    <x:row r="21" ht="44" customHeight="1">
      <x:c r="A21" s="19"/>
      <x:c r="B21" s="19"/>
      <x:c r="C21" s="19"/>
      <x:c r="D21" s="19"/>
      <x:c r="E21" s="19"/>
      <x:c r="F21" s="31"/>
      <x:c r="G21" s="31"/>
      <x:c r="H21" s="31"/>
      <x:c r="I21" s="38" t="str">
        <x:f>IF(OR(F21="",H21="",D21=""),"",IF(D21="ลดลง",F21-H21,H21-F21))</x:f>
      </x:c>
      <x:c r="J21" s="39" t="str">
        <x:f>IF(OR(F21="",H21="",D21="",F21=0),"",I21/ABS(F21))</x:f>
      </x:c>
      <x:c r="K21" s="19"/>
      <x:c r="L21" s="19"/>
      <x:c r="M21" s="19"/>
      <x:c r="N21" s="19"/>
    </x:row>
    <x:row r="22" ht="44" customHeight="1">
      <x:c r="A22" s="22"/>
      <x:c r="B22" s="22"/>
      <x:c r="C22" s="22"/>
      <x:c r="D22" s="22"/>
      <x:c r="E22" s="22"/>
      <x:c r="F22" s="30"/>
      <x:c r="G22" s="30"/>
      <x:c r="H22" s="30"/>
      <x:c r="I22" s="38" t="str">
        <x:f>IF(OR(F22="",H22="",D22=""),"",IF(D22="ลดลง",F22-H22,H22-F22))</x:f>
      </x:c>
      <x:c r="J22" s="39" t="str">
        <x:f>IF(OR(F22="",H22="",D22="",F22=0),"",I22/ABS(F22))</x:f>
      </x:c>
      <x:c r="K22" s="22"/>
      <x:c r="L22" s="22"/>
      <x:c r="M22" s="22"/>
      <x:c r="N22" s="22"/>
    </x:row>
    <x:row r="23" ht="44" customHeight="1">
      <x:c r="A23" s="19"/>
      <x:c r="B23" s="19"/>
      <x:c r="C23" s="19"/>
      <x:c r="D23" s="19"/>
      <x:c r="E23" s="19"/>
      <x:c r="F23" s="31"/>
      <x:c r="G23" s="31"/>
      <x:c r="H23" s="31"/>
      <x:c r="I23" s="38" t="str">
        <x:f>IF(OR(F23="",H23="",D23=""),"",IF(D23="ลดลง",F23-H23,H23-F23))</x:f>
      </x:c>
      <x:c r="J23" s="39" t="str">
        <x:f>IF(OR(F23="",H23="",D23="",F23=0),"",I23/ABS(F23))</x:f>
      </x:c>
      <x:c r="K23" s="19"/>
      <x:c r="L23" s="19"/>
      <x:c r="M23" s="19"/>
      <x:c r="N23" s="19"/>
    </x:row>
    <x:row r="24" ht="44" customHeight="1">
      <x:c r="A24" s="22"/>
      <x:c r="B24" s="22"/>
      <x:c r="C24" s="22"/>
      <x:c r="D24" s="22"/>
      <x:c r="E24" s="22"/>
      <x:c r="F24" s="30"/>
      <x:c r="G24" s="30"/>
      <x:c r="H24" s="30"/>
      <x:c r="I24" s="38" t="str">
        <x:f>IF(OR(F24="",H24="",D24=""),"",IF(D24="ลดลง",F24-H24,H24-F24))</x:f>
      </x:c>
      <x:c r="J24" s="39" t="str">
        <x:f>IF(OR(F24="",H24="",D24="",F24=0),"",I24/ABS(F24))</x:f>
      </x:c>
      <x:c r="K24" s="22"/>
      <x:c r="L24" s="22"/>
      <x:c r="M24" s="22"/>
      <x:c r="N24" s="22"/>
    </x:row>
    <x:row r="25" ht="44" customHeight="1">
      <x:c r="A25" s="19"/>
      <x:c r="B25" s="19"/>
      <x:c r="C25" s="19"/>
      <x:c r="D25" s="19"/>
      <x:c r="E25" s="19"/>
      <x:c r="F25" s="31"/>
      <x:c r="G25" s="31"/>
      <x:c r="H25" s="31"/>
      <x:c r="I25" s="38" t="str">
        <x:f>IF(OR(F25="",H25="",D25=""),"",IF(D25="ลดลง",F25-H25,H25-F25))</x:f>
      </x:c>
      <x:c r="J25" s="39" t="str">
        <x:f>IF(OR(F25="",H25="",D25="",F25=0),"",I25/ABS(F25))</x:f>
      </x:c>
      <x:c r="K25" s="19"/>
      <x:c r="L25" s="19"/>
      <x:c r="M25" s="19"/>
      <x:c r="N25" s="19"/>
    </x:row>
  </x:sheetData>
  <x:mergeCells>
    <x:mergeCell ref="A1:N1"/>
    <x:mergeCell ref="A2:N3"/>
  </x:mergeCells>
  <x:dataValidations count="1">
    <x:dataValidation type="list" sqref="D6:D25">
      <x:formula1>"ลดลง,เพิ่มขึ้น"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18" hidden="0" customWidth="1"/>
    <x:col min="4" max="4" width="48" hidden="0" customWidth="1"/>
    <x:col min="5" max="5" width="20" hidden="0" customWidth="1"/>
    <x:col min="6" max="6" width="25" hidden="0" customWidth="1"/>
    <x:col min="7" max="7" width="30" hidden="0" customWidth="1"/>
    <x:col min="8" max="8" width="40" hidden="0" customWidth="1"/>
  </x:cols>
  <x:sheetData>
    <x:row r="1" ht="32" customHeight="1">
      <x:c r="A1" s="3" t="str">
        <x:v>เทียบเกณฑ์เดิมก่อนปรับน้ำหนัก</x:v>
      </x:c>
      <x:c r="B1" s="3"/>
      <x:c r="C1" s="3"/>
      <x:c r="D1" s="3"/>
      <x:c r="E1" s="3"/>
      <x:c r="F1" s="3"/>
      <x:c r="G1" s="3"/>
      <x:c r="H1" s="3"/>
    </x:row>
    <x:row r="2" ht="24" customHeight="1">
      <x:c r="A2" s="8" t="str">
        <x:v>ยังไม่กำหนดคะแนนหรือน้ำหนัก • ความเสี่ยง/สิทธิ์เป็นเงื่อนไขห้ามผ่านแยกจากคะแนน • ต้องประกาศเกณฑ์ที่อนุมัติก่อนรอบ Challenge</x:v>
      </x:c>
      <x:c r="B2" s="8"/>
      <x:c r="C2" s="8"/>
      <x:c r="D2" s="8"/>
      <x:c r="E2" s="8"/>
      <x:c r="F2" s="8"/>
      <x:c r="G2" s="8"/>
      <x:c r="H2" s="8"/>
    </x:row>
    <x:row r="3" ht="24" customHeight="1">
      <x:c r="A3" s="8"/>
      <x:c r="B3" s="8"/>
      <x:c r="C3" s="8"/>
      <x:c r="D3" s="8"/>
      <x:c r="E3" s="8"/>
      <x:c r="F3" s="8"/>
      <x:c r="G3" s="8"/>
      <x:c r="H3" s="8"/>
    </x:row>
    <x:row r="5" ht="32" customHeight="1">
      <x:c r="A5" s="14" t="str">
        <x:v>มิติ</x:v>
      </x:c>
      <x:c r="B5" s="14" t="str">
        <x:v>เกณฑ์เดิม/เวอร์ชัน</x:v>
      </x:c>
      <x:c r="C5" s="14" t="str">
        <x:v>น้ำหนักเดิม</x:v>
      </x:c>
      <x:c r="D5" s="14" t="str">
        <x:v>แนวทางพัฒนาที่เสนอ</x:v>
      </x:c>
      <x:c r="E5" s="14" t="str">
        <x:v>คง/ปรับ/เพิ่ม</x:v>
      </x:c>
      <x:c r="F5" s="14" t="str">
        <x:v>น้ำหนักใหม่ที่อนุมัติ</x:v>
      </x:c>
      <x:c r="G5" s="14" t="str">
        <x:v>ผู้อนุมัติ/วันที่</x:v>
      </x:c>
      <x:c r="H5" s="14" t="str">
        <x:v>หลักฐาน/ข้อสังเกต</x:v>
      </x:c>
    </x:row>
    <x:row r="6" ht="44" customHeight="1">
      <x:c r="A6" s="22" t="str">
        <x:v>คุณภาพโจทย์</x:v>
      </x:c>
      <x:c r="B6" s="22"/>
      <x:c r="C6" s="22"/>
      <x:c r="D6" s="22" t="str">
        <x:v>ปัญหาและผู้ใช้ชัด เทียบทางเลือกไม่ใช้ AI</x:v>
      </x:c>
      <x:c r="E6" s="22"/>
      <x:c r="F6" s="22"/>
      <x:c r="G6" s="22"/>
      <x:c r="H6" s="22"/>
    </x:row>
    <x:row r="7" ht="44" customHeight="1">
      <x:c r="A7" s="19" t="str">
        <x:v>ผลธุรกิจ</x:v>
      </x:c>
      <x:c r="B7" s="19"/>
      <x:c r="C7" s="19"/>
      <x:c r="D7" s="19" t="str">
        <x:v>ค่าฐาน ผลจริง ต้นทุน ข้อจำกัดและผู้ยืนยัน</x:v>
      </x:c>
      <x:c r="E7" s="19"/>
      <x:c r="F7" s="19"/>
      <x:c r="G7" s="19"/>
      <x:c r="H7" s="19"/>
    </x:row>
    <x:row r="8" ht="44" customHeight="1">
      <x:c r="A8" s="22" t="str">
        <x:v>ความสามารถทีม</x:v>
      </x:c>
      <x:c r="B8" s="22"/>
      <x:c r="C8" s="22"/>
      <x:c r="D8" s="22" t="str">
        <x:v>ทำซ้ำ ตรวจข้อผิดพลาด และสอนกลับเองได้</x:v>
      </x:c>
      <x:c r="E8" s="22"/>
      <x:c r="F8" s="22"/>
      <x:c r="G8" s="22"/>
      <x:c r="H8" s="22"/>
    </x:row>
    <x:row r="9" ht="44" customHeight="1">
      <x:c r="A9" s="19" t="str">
        <x:v>การใช้จริง</x:v>
      </x:c>
      <x:c r="B9" s="19"/>
      <x:c r="C9" s="19"/>
      <x:c r="D9" s="19" t="str">
        <x:v>ผู้ใช้ยืนยันการใช้ในงาน ไม่ใช่เดโมอย่างเดียว</x:v>
      </x:c>
      <x:c r="E9" s="19"/>
      <x:c r="F9" s="19"/>
      <x:c r="G9" s="19"/>
      <x:c r="H9" s="19"/>
    </x:row>
    <x:row r="10" ht="44" customHeight="1">
      <x:c r="A10" s="22" t="str">
        <x:v>ใช้ซ้ำ/ขยายผล</x:v>
      </x:c>
      <x:c r="B10" s="22"/>
      <x:c r="C10" s="22"/>
      <x:c r="D10" s="22" t="str">
        <x:v>ชิ้นส่วนใช้ซ้ำและความพร้อมปลายทาง</x:v>
      </x:c>
      <x:c r="E10" s="22"/>
      <x:c r="F10" s="22"/>
      <x:c r="G10" s="22"/>
      <x:c r="H10" s="22"/>
    </x:row>
    <x:row r="11" ht="44" customHeight="1">
      <x:c r="A11" s="19" t="str">
        <x:v>วิธีทดลอง/เทคนิค</x:v>
      </x:c>
      <x:c r="B11" s="19"/>
      <x:c r="C11" s="19"/>
      <x:c r="D11" s="19" t="str">
        <x:v>ผลทดสอบและตัวเทียบเหมาะกับโจทย์</x:v>
      </x:c>
      <x:c r="E11" s="19"/>
      <x:c r="F11" s="19"/>
      <x:c r="G11" s="19"/>
      <x:c r="H11" s="19"/>
    </x:row>
    <x:row r="12" ht="44" customHeight="1">
      <x:c r="A12" s="22" t="str">
        <x:v>เกณฑ์เฉพาะด้าน</x:v>
      </x:c>
      <x:c r="B12" s="22"/>
      <x:c r="C12" s="22"/>
      <x:c r="D12" s="22" t="str">
        <x:v>ตัวอย่าง Finance: กระทบยอด / Engineering: ความปลอดภัย</x:v>
      </x:c>
      <x:c r="E12" s="22"/>
      <x:c r="F12" s="22"/>
      <x:c r="G12" s="22"/>
      <x:c r="H12" s="22"/>
    </x:row>
  </x:sheetData>
  <x:mergeCells>
    <x:mergeCell ref="A1:H1"/>
    <x:mergeCell ref="A2:H3"/>
  </x:mergeCells>
  <x:dataValidations count="1">
    <x:dataValidation type="list" sqref="E6:E12">
      <x:formula1>"คง,ปรับ,เพิ่ม,รอเทียบเกณฑ์เดิม"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5" hidden="0" customWidth="1"/>
    <x:col min="4" max="4" width="42" hidden="0" customWidth="1"/>
    <x:col min="5" max="5" width="75" hidden="0" customWidth="1"/>
  </x:cols>
  <x:sheetData>
    <x:row r="1" ht="32" customHeight="1">
      <x:c r="A1" s="3" t="str">
        <x:v>แหล่งอ้างอิง และฐานข้อมูลบริบท</x:v>
      </x:c>
      <x:c r="B1" s="3"/>
      <x:c r="C1" s="3"/>
      <x:c r="D1" s="3"/>
      <x:c r="E1" s="3"/>
    </x:row>
    <x:row r="2" ht="24" customHeight="1">
      <x:c r="A2" s="8" t="str">
        <x:v>แหล่งภายนอกเป็นเว็บไซต์ทางการที่ตรวจ 28 ก.ย. 2569 • บริบททีมมาจากผู้ใช้ ไม่ใช่เอกสารคะแนน/รายงานประชุมที่ตรวจแล้ว</x:v>
      </x:c>
      <x:c r="B2" s="8"/>
      <x:c r="C2" s="8"/>
      <x:c r="D2" s="8"/>
      <x:c r="E2" s="8"/>
    </x:row>
    <x:row r="3" ht="24" customHeight="1">
      <x:c r="A3" s="8"/>
      <x:c r="B3" s="8"/>
      <x:c r="C3" s="8"/>
      <x:c r="D3" s="8"/>
      <x:c r="E3" s="8"/>
    </x:row>
    <x:row r="5" ht="32" customHeight="1">
      <x:c r="A5" s="14" t="str">
        <x:v>รหัส</x:v>
      </x:c>
      <x:c r="B5" s="14" t="str">
        <x:v>หน่วยงาน</x:v>
      </x:c>
      <x:c r="C5" s="14" t="str">
        <x:v>ชื่อเรื่อง</x:v>
      </x:c>
      <x:c r="D5" s="14" t="str">
        <x:v>เวอร์ชัน/วันที่</x:v>
      </x:c>
      <x:c r="E5" s="14" t="str">
        <x:v>URL / ที่มา</x:v>
      </x:c>
    </x:row>
    <x:row r="6" ht="58" customHeight="1">
      <x:c r="A6" s="22" t="str">
        <x:v>S1</x:v>
      </x:c>
      <x:c r="B6" s="22" t="str">
        <x:v>MIT CISR</x:v>
      </x:c>
      <x:c r="C6" s="22" t="str">
        <x:v>Building Enterprise AI Maturity</x:v>
      </x:c>
      <x:c r="D6" s="22" t="str">
        <x:v>19 Dec 2024; survey 2022 and interviews 2024</x:v>
      </x:c>
      <x:c r="E6" s="22" t="str">
        <x:v>https://cisr.mit.edu/publication/2024_1201_EnterpriseAIMaturityModel_WeillWoernerSebastian</x:v>
      </x:c>
    </x:row>
    <x:row r="7" ht="58" customHeight="1">
      <x:c r="A7" s="19" t="str">
        <x:v>S2</x:v>
      </x:c>
      <x:c r="B7" s="19" t="str">
        <x:v>Microsoft Research / HAX</x:v>
      </x:c>
      <x:c r="C7" s="19" t="str">
        <x:v>Guidelines for Human-AI Interaction</x:v>
      </x:c>
      <x:c r="D7" s="19" t="str">
        <x:v>Research 2019; official HAX guide</x:v>
      </x:c>
      <x:c r="E7" s="19" t="str">
        <x:v>https://www.microsoft.com/en-us/haxtoolkit/ai-guidelines/</x:v>
      </x:c>
    </x:row>
    <x:row r="8" ht="58" customHeight="1">
      <x:c r="A8" s="22" t="str">
        <x:v>S2a</x:v>
      </x:c>
      <x:c r="B8" s="22" t="str">
        <x:v>Microsoft Research</x:v>
      </x:c>
      <x:c r="C8" s="22" t="str">
        <x:v>Guidelines for Human-AI Interaction – research overview</x:v>
      </x:c>
      <x:c r="D8" s="22" t="str">
        <x:v>4 Jun 2019</x:v>
      </x:c>
      <x:c r="E8" s="22" t="str">
        <x:v>https://www.microsoft.com/en-us/research/project/guidelines-for-human-ai-interaction/</x:v>
      </x:c>
    </x:row>
    <x:row r="9" ht="58" customHeight="1">
      <x:c r="A9" s="19" t="str">
        <x:v>S3</x:v>
      </x:c>
      <x:c r="B9" s="19" t="str">
        <x:v>Stage-Gate International / Robert G. Cooper</x:v>
      </x:c>
      <x:c r="C9" s="19" t="str">
        <x:v>The Stage-Gate Model: An Overview</x:v>
      </x:c>
      <x:c r="D9" s="19" t="str">
        <x:v>Official web overview; accessed 28 Sep 2026</x:v>
      </x:c>
      <x:c r="E9" s="19" t="str">
        <x:v>https://www.stage-gate.com/blog/the-stage-gate-model-an-overview/</x:v>
      </x:c>
    </x:row>
    <x:row r="10" ht="58" customHeight="1">
      <x:c r="A10" s="22" t="str">
        <x:v>S4</x:v>
      </x:c>
      <x:c r="B10" s="22" t="str">
        <x:v>NIST</x:v>
      </x:c>
      <x:c r="C10" s="22" t="str">
        <x:v>AI Risk Management Framework 1.0: Core</x:v>
      </x:c>
      <x:c r="D10" s="22" t="str">
        <x:v>2023; revision in progress on official site</x:v>
      </x:c>
      <x:c r="E10" s="22" t="str">
        <x:v>https://airc.nist.gov/airmf-resources/airmf/5-sec-core/</x:v>
      </x:c>
    </x:row>
    <x:row r="11" ht="58" customHeight="1">
      <x:c r="A11" s="19" t="str">
        <x:v>S4a</x:v>
      </x:c>
      <x:c r="B11" s="19" t="str">
        <x:v>NIST</x:v>
      </x:c>
      <x:c r="C11" s="19" t="str">
        <x:v>AI Risk Management Framework</x:v>
      </x:c>
      <x:c r="D11" s="19" t="str">
        <x:v>Version/status overview; accessed 28 Sep 2026</x:v>
      </x:c>
      <x:c r="E11" s="19" t="str">
        <x:v>https://www.nist.gov/itl/ai-risk-management-framework</x:v>
      </x:c>
    </x:row>
    <x:row r="12" ht="58" customHeight="1">
      <x:c r="A12" s="22" t="str">
        <x:v>S5</x:v>
      </x:c>
      <x:c r="B12" s="22" t="str">
        <x:v>ISO</x:v>
      </x:c>
      <x:c r="C12" s="22" t="str">
        <x:v>ISO/IEC 42001:2023 – AI management systems</x:v>
      </x:c>
      <x:c r="D12" s="22" t="str">
        <x:v>Edition 1, Dec 2023; public overview only</x:v>
      </x:c>
      <x:c r="E12" s="22" t="str">
        <x:v>https://www.iso.org/standard/42001</x:v>
      </x:c>
    </x:row>
    <x:row r="13" ht="58" customHeight="1">
      <x:c r="A13" s="19" t="str">
        <x:v>S6</x:v>
      </x:c>
      <x:c r="B13" s="19" t="str">
        <x:v>OECD.AI</x:v>
      </x:c>
      <x:c r="C13" s="19" t="str">
        <x:v>AI Principles overview</x:v>
      </x:c>
      <x:c r="D13" s="19" t="str">
        <x:v>Adopted 2019; updated May 2024</x:v>
      </x:c>
      <x:c r="E13" s="19" t="str">
        <x:v>https://oecd.ai/en/ai-principles</x:v>
      </x:c>
    </x:row>
    <x:row r="14" ht="58" customHeight="1">
      <x:c r="A14" s="22" t="str">
        <x:v>S7</x:v>
      </x:c>
      <x:c r="B14" s="22" t="str">
        <x:v>OpenAI</x:v>
      </x:c>
      <x:c r="C14" s="22" t="str">
        <x:v>Enterprise privacy at OpenAI</x:v>
      </x:c>
      <x:c r="D14" s="22" t="str">
        <x:v>Official product privacy page; accessed 28 Sep 2026</x:v>
      </x:c>
      <x:c r="E14" s="22" t="str">
        <x:v>https://openai.com/enterprise-privacy/</x:v>
      </x:c>
    </x:row>
    <x:row r="15" ht="58" customHeight="1">
      <x:c r="A15" s="19" t="str">
        <x:v>U1</x:v>
      </x:c>
      <x:c r="B15" s="19" t="str">
        <x:v>ผู้ใช้</x:v>
      </x:c>
      <x:c r="C15" s="19" t="str">
        <x:v>17 ทีมพัฒนา / 7 ทีมเดิม / ช่วงเกือบ 3 เดือน</x:v>
      </x:c>
      <x:c r="D15" s="19" t="str">
        <x:v>ข้อมูลในบทสนทนา</x:v>
      </x:c>
      <x:c r="E15" s="19" t="str">
        <x:v>ยังรอ Earth ตรวจเทียบหลักฐานภายใน</x:v>
      </x:c>
    </x:row>
    <x:row r="16" ht="58" customHeight="1">
      <x:c r="A16" s="22" t="str">
        <x:v>P1</x:v>
      </x:c>
      <x:c r="B16" s="22" t="str">
        <x:v>ข้อเสนอ PCC</x:v>
      </x:c>
      <x:c r="C16" s="22" t="str">
        <x:v>G1–G5 / 12 สัปดาห์ / แบบฟอร์มและบทบาท</x:v>
      </x:c>
      <x:c r="D16" s="22" t="str">
        <x:v>ฉบับ 2026-09-28</x:v>
      </x:c>
      <x:c r="E16" s="22" t="str">
        <x:v>ไม่ใช่โครงสร้างหรืออำนาจที่อนุมัติแล้ว</x:v>
      </x:c>
    </x:row>
  </x:sheetData>
  <x:mergeCells>
    <x:mergeCell ref="A1:E1"/>
    <x:mergeCell ref="A2:E3"/>
  </x:mergeCells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DD0475AB8945FE43816720F9D329480E" ma:contentTypeVersion="9" ma:contentTypeDescription="สร้างเอกสารใหม่" ma:contentTypeScope="" ma:versionID="f3111e5a2cd55f1b31329b4ae57ef00a">
  <xsd:schema xmlns:xsd="http://www.w3.org/2001/XMLSchema" xmlns:xs="http://www.w3.org/2001/XMLSchema" xmlns:p="http://schemas.microsoft.com/office/2006/metadata/properties" xmlns:ns2="9aaadd62-0e18-4c04-bf47-548317282f00" xmlns:ns3="2f47d437-25f5-4647-aaac-4742d0ef4768" targetNamespace="http://schemas.microsoft.com/office/2006/metadata/properties" ma:root="true" ma:fieldsID="c9354b6d4f04084d9d5b9b0c709b0294" ns2:_="" ns3:_="">
    <xsd:import namespace="9aaadd62-0e18-4c04-bf47-548317282f00"/>
    <xsd:import namespace="2f47d437-25f5-4647-aaac-4742d0ef47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aadd62-0e18-4c04-bf47-548317282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d75a37a9-5243-4c6f-8b88-701ebc899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7d437-25f5-4647-aaac-4742d0ef47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f7d91d5-345d-4613-8040-65061f556905}" ma:internalName="TaxCatchAll" ma:showField="CatchAllData" ma:web="2f47d437-25f5-4647-aaac-4742d0ef47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47d437-25f5-4647-aaac-4742d0ef4768" xsi:nil="true"/>
    <lcf76f155ced4ddcb4097134ff3c332f xmlns="9aaadd62-0e18-4c04-bf47-548317282f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ABBA2B-2AC2-4993-A1F5-786D4044D5FD}"/>
</file>

<file path=customXml/itemProps2.xml><?xml version="1.0" encoding="utf-8"?>
<ds:datastoreItem xmlns:ds="http://schemas.openxmlformats.org/officeDocument/2006/customXml" ds:itemID="{B7C4B60B-41FF-4646-B342-DA59889E9F5D}"/>
</file>

<file path=customXml/itemProps3.xml><?xml version="1.0" encoding="utf-8"?>
<ds:datastoreItem xmlns:ds="http://schemas.openxmlformats.org/officeDocument/2006/customXml" ds:itemID="{09BAA235-957B-4AE0-B688-348825649B6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0x010100DD0475AB8945FE43816720F9D329480E</vt:lpwstr>
  </property>
</Properties>
</file>